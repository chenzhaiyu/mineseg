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ropbox\TUM SIPEO\Projekte\RS mining facilities\L-ASM Mining Dataset\ds\"/>
    </mc:Choice>
  </mc:AlternateContent>
  <bookViews>
    <workbookView xWindow="0" yWindow="0" windowWidth="38400" windowHeight="17730" tabRatio="407" activeTab="1"/>
  </bookViews>
  <sheets>
    <sheet name="Mines &amp; IDs" sheetId="3" r:id="rId1"/>
    <sheet name="stats" sheetId="5" r:id="rId2"/>
  </sheets>
  <definedNames>
    <definedName name="_xlnm._FilterDatabase" localSheetId="0" hidden="1">'Mines &amp; IDs'!$C$3:$D$152</definedName>
    <definedName name="_xlnm._FilterDatabase" localSheetId="1" hidden="1">stats!#REF!</definedName>
    <definedName name="_xlchart.0" hidden="1">stats!$F$3:$F$9</definedName>
    <definedName name="_xlchart.1" hidden="1">stats!$G$3:$G$9</definedName>
    <definedName name="_xlchart.2" hidden="1">stats!$F$3:$F$9</definedName>
    <definedName name="_xlchart.3" hidden="1">stats!$H$3:$H$9</definedName>
    <definedName name="_xlnm.Criteria" localSheetId="1">stats!#REF!</definedName>
    <definedName name="_xlnm.Extract" localSheetId="1">stats!#REF!</definedName>
  </definedNames>
  <calcPr calcId="162913"/>
  <fileRecoveryPr repairLoad="1"/>
</workbook>
</file>

<file path=xl/calcChain.xml><?xml version="1.0" encoding="utf-8"?>
<calcChain xmlns="http://schemas.openxmlformats.org/spreadsheetml/2006/main">
  <c r="L4" i="5" l="1"/>
  <c r="H4" i="5" s="1"/>
  <c r="M5" i="5"/>
  <c r="G9" i="5"/>
  <c r="H5" i="5"/>
  <c r="H6" i="5"/>
  <c r="H7" i="5"/>
  <c r="H8" i="5"/>
  <c r="H3" i="5"/>
  <c r="G16" i="5" l="1"/>
  <c r="G15" i="5"/>
  <c r="G8" i="5"/>
  <c r="G7" i="5"/>
  <c r="G6" i="5"/>
  <c r="G5" i="5"/>
  <c r="G4" i="5"/>
  <c r="G3" i="5"/>
</calcChain>
</file>

<file path=xl/sharedStrings.xml><?xml version="1.0" encoding="utf-8"?>
<sst xmlns="http://schemas.openxmlformats.org/spreadsheetml/2006/main" count="4654" uniqueCount="630">
  <si>
    <t>ID</t>
  </si>
  <si>
    <t>Los Colorados</t>
  </si>
  <si>
    <t>La Coipa</t>
  </si>
  <si>
    <t>Mantoverda</t>
  </si>
  <si>
    <t>Francke</t>
  </si>
  <si>
    <t>Mantos Belancos</t>
  </si>
  <si>
    <t>Mina Invierno</t>
  </si>
  <si>
    <t>Coal</t>
  </si>
  <si>
    <t>Cerro Bayo</t>
  </si>
  <si>
    <t>El Toqui</t>
  </si>
  <si>
    <t>Chepica</t>
  </si>
  <si>
    <t>Au</t>
  </si>
  <si>
    <t>Tailings reprocessing plant of the El Teniente Division to obtain copper concentrate, belonging to Minera Valle Central</t>
  </si>
  <si>
    <t>Cu</t>
  </si>
  <si>
    <t>Mina Florida</t>
  </si>
  <si>
    <t>Tailings of El Teniente</t>
  </si>
  <si>
    <t>-</t>
  </si>
  <si>
    <t>Processing plant for obtaining copper concentrate, belonging to Codelco's El Teniente Division</t>
  </si>
  <si>
    <t>El Teniente</t>
  </si>
  <si>
    <t>Andina &amp; Los Bronces together</t>
  </si>
  <si>
    <t xml:space="preserve">Los Bronces </t>
  </si>
  <si>
    <t>Andina</t>
  </si>
  <si>
    <t>El Soldado</t>
  </si>
  <si>
    <t>Tres Valles</t>
  </si>
  <si>
    <t>Mine Los Pelambers</t>
  </si>
  <si>
    <t>Punitaqui</t>
  </si>
  <si>
    <t>Carmen de Andacollo</t>
  </si>
  <si>
    <t>El Romeral</t>
  </si>
  <si>
    <t>Fe</t>
  </si>
  <si>
    <t>Caserones</t>
  </si>
  <si>
    <t>Candelaria</t>
  </si>
  <si>
    <t>San Jose, Processing plant to obtain copper concentrate, belonging to Sociedad Punta del Cobre</t>
  </si>
  <si>
    <t>Pedro Aguirre Cerda, Processing plant to produce copper concentrate, belonging to CCM Ojos del Salado de Lunding</t>
  </si>
  <si>
    <t>Cerro Negro Norte</t>
  </si>
  <si>
    <t>Refugio</t>
  </si>
  <si>
    <t>Candelaria &amp; Concentration plant belonging to Compañía Minera del Pacífico, to obtain iron concentrate from the tailings of the Candelaria Plant</t>
  </si>
  <si>
    <t>Salvador</t>
  </si>
  <si>
    <t>Las Luces</t>
  </si>
  <si>
    <t>Guanaco</t>
  </si>
  <si>
    <t>El Penon</t>
  </si>
  <si>
    <t>Lomas Bayas</t>
  </si>
  <si>
    <t>Gabriela Mistral</t>
  </si>
  <si>
    <t>Centinela</t>
  </si>
  <si>
    <t>Sierra Gorda</t>
  </si>
  <si>
    <t>Mantos de La Luna</t>
  </si>
  <si>
    <t>Michilla</t>
  </si>
  <si>
    <t>Spence</t>
  </si>
  <si>
    <t>Antucoya</t>
  </si>
  <si>
    <t>Chuquicamata &amp; Radomiro Tomic</t>
  </si>
  <si>
    <t>El Abra</t>
  </si>
  <si>
    <t>Collahausi</t>
  </si>
  <si>
    <t>Quebrada Blanca</t>
  </si>
  <si>
    <t>Cerro Colorado</t>
  </si>
  <si>
    <t>Ministro Hales</t>
  </si>
  <si>
    <t>General Information</t>
  </si>
  <si>
    <t>Metal/Commodity 1</t>
  </si>
  <si>
    <t>Metal/Commodity 2</t>
  </si>
  <si>
    <t>Metal/Commodity 3</t>
  </si>
  <si>
    <t>Metal/Commodity 4</t>
  </si>
  <si>
    <t>Shareholder data</t>
  </si>
  <si>
    <t>Sources</t>
  </si>
  <si>
    <t>ID Name</t>
  </si>
  <si>
    <t>Name_Mine</t>
  </si>
  <si>
    <t>Status</t>
  </si>
  <si>
    <t>Type  [OP/UG]</t>
  </si>
  <si>
    <t>Processing Method</t>
  </si>
  <si>
    <t>Latitude</t>
  </si>
  <si>
    <t>Longitude</t>
  </si>
  <si>
    <t>Name_Mining Company</t>
  </si>
  <si>
    <t>ROM [Mt/a]</t>
  </si>
  <si>
    <t>Avg. grade</t>
  </si>
  <si>
    <t>Production [t/a]</t>
  </si>
  <si>
    <t>Metal2</t>
  </si>
  <si>
    <t>Avg. Grade2</t>
  </si>
  <si>
    <t>Production [t/a]4</t>
  </si>
  <si>
    <t>Metal_3</t>
  </si>
  <si>
    <t>Avg. Grade3</t>
  </si>
  <si>
    <t>Production [kg/a]</t>
  </si>
  <si>
    <t>Metal_4</t>
  </si>
  <si>
    <t>Avg. Grade_Metal_4</t>
  </si>
  <si>
    <t>Production [kg/a]2</t>
  </si>
  <si>
    <t>Name_Main Shareholder_1</t>
  </si>
  <si>
    <t>Name_Main Shareholder_2</t>
  </si>
  <si>
    <t>Name_Main Shareholder_3</t>
  </si>
  <si>
    <t>Name_Main Shareholder_4</t>
  </si>
  <si>
    <t>Name_Main Shareholder_5</t>
  </si>
  <si>
    <t>Source_URL_1</t>
  </si>
  <si>
    <t>Source_URL_2</t>
  </si>
  <si>
    <t>Source_URL_3</t>
  </si>
  <si>
    <t>Source_URL_4</t>
  </si>
  <si>
    <t>Adrianita</t>
  </si>
  <si>
    <t>decomissioned before 1985</t>
  </si>
  <si>
    <t>OP</t>
  </si>
  <si>
    <t>N/A</t>
  </si>
  <si>
    <t>27° 10' 25'' S</t>
  </si>
  <si>
    <t>70° 22' 50'' W</t>
  </si>
  <si>
    <t>https://maps.mineriaabierta.cl/mapa</t>
  </si>
  <si>
    <t>https://www.mch.cl/2009/03/20/minera-santa-fe-procesara-desmontes-de-hierro-en-mina-adrianitas-en-copiapo/</t>
  </si>
  <si>
    <t>http://www.colegiodegeologos.cl/Noticias23.html</t>
  </si>
  <si>
    <t>operational</t>
  </si>
  <si>
    <t>OP &amp; UG</t>
  </si>
  <si>
    <t xml:space="preserve">Flotation </t>
  </si>
  <si>
    <t>33.09°S</t>
  </si>
  <si>
    <t>70.25°W</t>
  </si>
  <si>
    <t>Codelco Corp. (operator)</t>
  </si>
  <si>
    <t>195531 t/a</t>
  </si>
  <si>
    <t>Mo</t>
  </si>
  <si>
    <t>3489 t/a</t>
  </si>
  <si>
    <t>Ag</t>
  </si>
  <si>
    <t>143780 kg/a</t>
  </si>
  <si>
    <t>Codelco Corp. (100%)</t>
  </si>
  <si>
    <t>https://www.codelco.com/memoria2018/site/docs/20190408/20190408190123/codelco_annual_report_2018.pdf</t>
  </si>
  <si>
    <t>Los Bronces</t>
  </si>
  <si>
    <t>Flotation, heap leach, SX-EW</t>
  </si>
  <si>
    <t>33° 8' 57'' S</t>
  </si>
  <si>
    <t>70° 16' 51'' W</t>
  </si>
  <si>
    <t>Anglo American Sur S.A. (Operator)</t>
  </si>
  <si>
    <t>324700 t/a</t>
  </si>
  <si>
    <t>140 ppm</t>
  </si>
  <si>
    <t>Anglo American plc. (50,1%)</t>
  </si>
  <si>
    <t>Mitsui &amp; Co, Ltd. (29,5%)</t>
  </si>
  <si>
    <t>Mitsubishi Materials Corp. (20,4%)</t>
  </si>
  <si>
    <t>https://miningdataonline.com/property/320/Los-Bronces-Mine.aspx</t>
  </si>
  <si>
    <t>https://www.miningnewsfeed.com/reports/annual/AngloAmerican_AR_2018.pdf</t>
  </si>
  <si>
    <t>https://minedocs.com/21/Los_Bronces-CP-2018.pdf</t>
  </si>
  <si>
    <t xml:space="preserve"> 22°37'52.89"S</t>
  </si>
  <si>
    <t xml:space="preserve"> 69°52'31.55"W</t>
  </si>
  <si>
    <t>Antofagasta Minerals</t>
  </si>
  <si>
    <t>79300 t/a</t>
  </si>
  <si>
    <t>Antofagasta PLC (70%)</t>
  </si>
  <si>
    <t>Marubeni Corp. (30%)</t>
  </si>
  <si>
    <t>https://www.annualreports.com/HostedData/AnnualReports/PDF/LSE_ANTO_2020.pdf</t>
  </si>
  <si>
    <t>Flotation, Magenetic separation</t>
  </si>
  <si>
    <t>27° 31' 35'' S</t>
  </si>
  <si>
    <t>70° 17' 40'' W</t>
  </si>
  <si>
    <t>Lundin Mining Corp.</t>
  </si>
  <si>
    <t>126702 t/a</t>
  </si>
  <si>
    <t xml:space="preserve"> - </t>
  </si>
  <si>
    <t>0,13 ppm</t>
  </si>
  <si>
    <t>2155 kg/a</t>
  </si>
  <si>
    <t xml:space="preserve"> 1,77 ppm </t>
  </si>
  <si>
    <t>31184 kg/a</t>
  </si>
  <si>
    <t>Lundin Mining Corp. (80%)</t>
  </si>
  <si>
    <t>Sumitomo Metal Mining Co., Ltd (16%)</t>
  </si>
  <si>
    <t>Sumitomo Corporation (4%)</t>
  </si>
  <si>
    <t>https://miningdataonline.com/property/1449/Candelaria-Complex.aspx</t>
  </si>
  <si>
    <t>https://www.miningnewsfeed.com/reports/lundinmining_candelaria_TR_2018.pdf</t>
  </si>
  <si>
    <t>https://www.lundinmining.com/site/assets/files/8302/lundin_mining_-_2020_annual_filings.pdf</t>
  </si>
  <si>
    <t>2156 kg/a</t>
  </si>
  <si>
    <t>31185 kg/a</t>
  </si>
  <si>
    <t>2157 kg/a</t>
  </si>
  <si>
    <t>1,77 ppm</t>
  </si>
  <si>
    <t>31186 kg/a</t>
  </si>
  <si>
    <t>2158 kg/a</t>
  </si>
  <si>
    <t>31187 kg/a</t>
  </si>
  <si>
    <t>2159 kg/a</t>
  </si>
  <si>
    <t>31188 kg/a</t>
  </si>
  <si>
    <t>2160 kg/a</t>
  </si>
  <si>
    <t>31189 kg/a</t>
  </si>
  <si>
    <t>126703 t/a</t>
  </si>
  <si>
    <t>2161 kg/a</t>
  </si>
  <si>
    <t>31190 kg/a</t>
  </si>
  <si>
    <t>30° 14' 29'' S</t>
  </si>
  <si>
    <t>71° 6' 10'' W</t>
  </si>
  <si>
    <t>Compañía Minera Teck Carmen de Andacollo S. A. (operator)</t>
  </si>
  <si>
    <t>58000 t/a</t>
  </si>
  <si>
    <t>1394,8 kg/a</t>
  </si>
  <si>
    <t>Teck Resources Ltd. (90%)</t>
  </si>
  <si>
    <t>Empresa Nacional de Minería (10%)</t>
  </si>
  <si>
    <t>https://miningdataonline.com/property/155/Carmen-de-Andacollo-Mine.aspx</t>
  </si>
  <si>
    <t>https://www.teck.com/media/2020-Annual-Report.pdf</t>
  </si>
  <si>
    <t>5800 t/a0</t>
  </si>
  <si>
    <t>28° 18' S</t>
  </si>
  <si>
    <t>69° 53' W</t>
  </si>
  <si>
    <t>Sociedad Contractual Minera Lumina Copper Chile (operator)</t>
  </si>
  <si>
    <t>148700 t/a</t>
  </si>
  <si>
    <t>7393 t/a</t>
  </si>
  <si>
    <t>JX Nippon Mining &amp; Metals Corp. (100%)</t>
  </si>
  <si>
    <t>https://miningdataonline.com/property/1379/Caserones-Mine.aspx</t>
  </si>
  <si>
    <t>7394 t/a</t>
  </si>
  <si>
    <t>7395 t/a</t>
  </si>
  <si>
    <t>7396 t/a</t>
  </si>
  <si>
    <t>7397 t/a</t>
  </si>
  <si>
    <t>23.01°S</t>
  </si>
  <si>
    <t>69.10°W</t>
  </si>
  <si>
    <t>Minera Centinela S.A (Operator)</t>
  </si>
  <si>
    <t>0,53%%</t>
  </si>
  <si>
    <t>246800 t/a</t>
  </si>
  <si>
    <t>1700t/a</t>
  </si>
  <si>
    <t>0,19 ppm</t>
  </si>
  <si>
    <t>4073,826 kg/a</t>
  </si>
  <si>
    <t>https://miningdataonline.com/property/1380/Centinela-Esperanza,-El-Tesoro-Mine.aspx</t>
  </si>
  <si>
    <t>https://www.antofagasta.co.uk/media/4049/aplc20q4prodreport-vf.pdf</t>
  </si>
  <si>
    <t>UG</t>
  </si>
  <si>
    <t>Flotation</t>
  </si>
  <si>
    <t>46°32′31″S</t>
  </si>
  <si>
    <t>72°00′09″ W</t>
  </si>
  <si>
    <t>Compania Minera Cerro Bayo Ltda.</t>
  </si>
  <si>
    <t>22500 kg/a</t>
  </si>
  <si>
    <t>Mandalay Resources Corp. (93,1%)</t>
  </si>
  <si>
    <t>Equus Mining (8,9%)</t>
  </si>
  <si>
    <t>https://miningdataonline.com/property/151/Cerro-Bayo-Mine.aspx</t>
  </si>
  <si>
    <t>20.05°S</t>
  </si>
  <si>
    <t>69.26°W</t>
  </si>
  <si>
    <t xml:space="preserve">Compania Minera Cerro Colorado Ltd. </t>
  </si>
  <si>
    <t>63000 t/a</t>
  </si>
  <si>
    <t>0,1 ppm</t>
  </si>
  <si>
    <t>BHP Group Ltd. (100%)</t>
  </si>
  <si>
    <t>https://miningdataonline.com/property/156/Cerro-Colorado-Mine.aspx</t>
  </si>
  <si>
    <t>https://www.angloamerican.com/~/media/Files/A/Anglo-American-Group/PLC/media/presentations/2018pres/collahuasi-site-visit-presentation.pdf</t>
  </si>
  <si>
    <t>Crushing &amp; grinding plant, concentration plant</t>
  </si>
  <si>
    <t>27° 06' 16'' S</t>
  </si>
  <si>
    <t>70° 20' 05'' W</t>
  </si>
  <si>
    <t>CAP S. A. (Operator)</t>
  </si>
  <si>
    <t>273000 t/a</t>
  </si>
  <si>
    <t>https://www.cmp.cl/capmineria/site/artic/20210405/asocfile/20210405103011/memoria_cmp_2020.pdf</t>
  </si>
  <si>
    <t>CAP (100%)</t>
  </si>
  <si>
    <t>Flotation, gravity separation</t>
  </si>
  <si>
    <t>35°22′31″S</t>
  </si>
  <si>
    <t>71°51′15″ W</t>
  </si>
  <si>
    <t>Xtract Resources Plc</t>
  </si>
  <si>
    <t>Xtract Resources PLC. (100%)</t>
  </si>
  <si>
    <t>https://xtractresources.com/wp-content/uploads/Strategic-Review-at-Chepica-Mine.pdf</t>
  </si>
  <si>
    <t>https://sec.report/nsm/Xtract-Resources-P-L-C/data-migration/LSE20160831070010_012948323</t>
  </si>
  <si>
    <t>Chuquicamata</t>
  </si>
  <si>
    <t>22.31°S</t>
  </si>
  <si>
    <t>68.92°W</t>
  </si>
  <si>
    <t>320744 t/a</t>
  </si>
  <si>
    <t>0,04 ppm</t>
  </si>
  <si>
    <t>1410 kg/a</t>
  </si>
  <si>
    <t>261959 kg/a</t>
  </si>
  <si>
    <t>https://miningdataonline.com/property/405/Chuquicamata-Mine.aspx</t>
  </si>
  <si>
    <t>20° 59' 34'' S</t>
  </si>
  <si>
    <t>68° 38' 13'' W</t>
  </si>
  <si>
    <t>Compania Minera Dona Ines de Collahausi SCM (operator)</t>
  </si>
  <si>
    <t>629100 t/a</t>
  </si>
  <si>
    <t>5000t/a</t>
  </si>
  <si>
    <t>2835 kg/a</t>
  </si>
  <si>
    <t>226800 kg/a</t>
  </si>
  <si>
    <t>Anglo American plc. (44%)</t>
  </si>
  <si>
    <t>Glencore plc. (44%)</t>
  </si>
  <si>
    <t>Mitsui &amp; Co, Ltd. (12%)</t>
  </si>
  <si>
    <t>https://miningdataonline.com/property/1383/Collahuasi-Mine.aspx</t>
  </si>
  <si>
    <t>https://minedocs.com/20/Codelco-Corp-AR-2019.pdf</t>
  </si>
  <si>
    <t>2836 kg/a</t>
  </si>
  <si>
    <t>2837 kg/a</t>
  </si>
  <si>
    <t>2838 kg/a</t>
  </si>
  <si>
    <t>Compañía Minera El Indio</t>
  </si>
  <si>
    <t>29°47′24″S</t>
  </si>
  <si>
    <t>69°58′38″ W</t>
  </si>
  <si>
    <t>Barrick Gold</t>
  </si>
  <si>
    <t>Barrick Gold (100%)</t>
  </si>
  <si>
    <t>https://www.fluor.com/projects/el-indio-mining-gold-silver-copper-epcm</t>
  </si>
  <si>
    <t>21.92°S</t>
  </si>
  <si>
    <t>68.83°W</t>
  </si>
  <si>
    <t>Sociedad Contractual Minera El Abra (operator)</t>
  </si>
  <si>
    <t>40000 t/a</t>
  </si>
  <si>
    <t>100 ppm</t>
  </si>
  <si>
    <t>0,02 ppm</t>
  </si>
  <si>
    <t>1,3 ppm</t>
  </si>
  <si>
    <t>Freeport-McMoRan Inc. (51%)</t>
  </si>
  <si>
    <t>Codelco Corp. (49%)</t>
  </si>
  <si>
    <t>https://miningdataonline.com/property/158/El-Abra-Mine.aspx</t>
  </si>
  <si>
    <t>https://miningdataonline.com/property/239/Antucoya-Mine.aspx</t>
  </si>
  <si>
    <t>http://www.andeangeology.cl/index.php/revista1/article/view/V48n1-3294/pdf</t>
  </si>
  <si>
    <t>El Bronce</t>
  </si>
  <si>
    <t>32°13′31″S</t>
  </si>
  <si>
    <t>70°57′56″ W</t>
  </si>
  <si>
    <t>Alxar Mineria</t>
  </si>
  <si>
    <t>17.8 ppm</t>
  </si>
  <si>
    <t>https://www.alxar.cl/_file/resumen-plan-de-cierre-temporal-parcial-el-bronce.pdf</t>
  </si>
  <si>
    <t>https://thediggings.com/mines/usgs10105102</t>
  </si>
  <si>
    <t>https://www.alxar.cl/que-hacemos/operaciones/el-bronce</t>
  </si>
  <si>
    <t>https://www.miningweekly.com/print-version/el-bronce-petorca-chile-1999-07-23</t>
  </si>
  <si>
    <t>32°11′32″S</t>
  </si>
  <si>
    <t>70°56′30″ W</t>
  </si>
  <si>
    <t>El Panul - Landfill</t>
  </si>
  <si>
    <t>30°01′03″S</t>
  </si>
  <si>
    <t>71°21′34″ W</t>
  </si>
  <si>
    <t>Calcining, smelting, filter press plant, VAT leaching</t>
  </si>
  <si>
    <t>24° 25' 25'' S</t>
  </si>
  <si>
    <t>69° 35' 10'' W</t>
  </si>
  <si>
    <t>Minera El Penon</t>
  </si>
  <si>
    <t>5,05 ppm</t>
  </si>
  <si>
    <t>148,34 ppm</t>
  </si>
  <si>
    <t>Yamana Gold Inc. (100%)</t>
  </si>
  <si>
    <t>https://miningdataonline.com/property/1530/El-Penon-Mine.aspx</t>
  </si>
  <si>
    <t>29.72°S</t>
  </si>
  <si>
    <t>71.24°W</t>
  </si>
  <si>
    <t>2800000 t/a</t>
  </si>
  <si>
    <t>https://www.cap.cl/cap/site/artic/20210401/asocfile/20210401160746/annual_operating_summary_cap_s_a__2020.pdf</t>
  </si>
  <si>
    <t>https://www.barrick.com/Spanish/presencia/chile/default.aspx</t>
  </si>
  <si>
    <t>https://www.youtube.com/watch?v=nL0SAlodEpY</t>
  </si>
  <si>
    <t>32°39′16.8″S</t>
  </si>
  <si>
    <t>71°08′24.8″ W</t>
  </si>
  <si>
    <t>45800 t/a</t>
  </si>
  <si>
    <t>https://miningdataonline.com/property/990/El-Soldado-Mine.aspx</t>
  </si>
  <si>
    <t>34°05′11″S</t>
  </si>
  <si>
    <t>70°27′21″ W</t>
  </si>
  <si>
    <t>432220 t/a</t>
  </si>
  <si>
    <t>https://miningdataonline.com/property/160/El-Teniente-Mine.aspx</t>
  </si>
  <si>
    <t>Care &amp; Maintanance (bankruptcy since 2019)</t>
  </si>
  <si>
    <t>Gravity separation, foltation</t>
  </si>
  <si>
    <t>45°02′12″S</t>
  </si>
  <si>
    <t>71°56′35″ W</t>
  </si>
  <si>
    <t>Laguna Gold Ltd.</t>
  </si>
  <si>
    <t>Zn</t>
  </si>
  <si>
    <t>28000 t/a</t>
  </si>
  <si>
    <t>Pb</t>
  </si>
  <si>
    <t>0,78 ppm</t>
  </si>
  <si>
    <t>15,3 ppm</t>
  </si>
  <si>
    <t>https://miningdataonline.com/property/779/El-Toqui-Mine.aspx</t>
  </si>
  <si>
    <t>28001 t/a</t>
  </si>
  <si>
    <t>28002 t/a</t>
  </si>
  <si>
    <t>28003 t/a</t>
  </si>
  <si>
    <t>25° 84' S</t>
  </si>
  <si>
    <t>69° 86' W</t>
  </si>
  <si>
    <t>12500 t/a</t>
  </si>
  <si>
    <t>https://miningdataonline.com/property/172/Franke-Mine.aspx</t>
  </si>
  <si>
    <t>https://www.miningnewsfeed.com/reports/annual/KGHMPolskaMiedz_AR_2018.pdf</t>
  </si>
  <si>
    <t>https://kghm.com/en/investors/results-center/integrated-reports</t>
  </si>
  <si>
    <t>12501 t/a</t>
  </si>
  <si>
    <t>12502 t/a</t>
  </si>
  <si>
    <t>12503 t/a</t>
  </si>
  <si>
    <t>12504 t/a</t>
  </si>
  <si>
    <t>23.42°S</t>
  </si>
  <si>
    <t>68.81°W</t>
  </si>
  <si>
    <t>Guanaco-Amancaya Complex</t>
  </si>
  <si>
    <t>exploration</t>
  </si>
  <si>
    <t>Heap leach, SX-EW</t>
  </si>
  <si>
    <t>25° 06' 25'' S</t>
  </si>
  <si>
    <t>69° 32' 02'' W</t>
  </si>
  <si>
    <t>Guanaco Compania Minera Ltda.</t>
  </si>
  <si>
    <t>3,96 ppm</t>
  </si>
  <si>
    <t>1737 (equivalent)</t>
  </si>
  <si>
    <t xml:space="preserve">8,44 ppm </t>
  </si>
  <si>
    <t>Austral Gold Inc. (100%)</t>
  </si>
  <si>
    <t>https://miningdataonline.com/property/3082/Guanaco-Amancaya-Complex.aspx</t>
  </si>
  <si>
    <t>Waiting for project restart</t>
  </si>
  <si>
    <t>agitated tank leaching, carbon in leach, merril-crowe, cyanide (reagent)</t>
  </si>
  <si>
    <t>26° 49' 17'' S</t>
  </si>
  <si>
    <t>69° 16' 00'' W</t>
  </si>
  <si>
    <t>Compania Minera Mantos de Oro</t>
  </si>
  <si>
    <t>Kinnros Gold Corp. (100%)</t>
  </si>
  <si>
    <t>https://miningdataonline.com/property/3062/La-Coipa-Mine.aspx</t>
  </si>
  <si>
    <t>25° 40' 00'' S</t>
  </si>
  <si>
    <t>70° 35' 16'' W</t>
  </si>
  <si>
    <t>60000 t/a</t>
  </si>
  <si>
    <t>Minera Las Cenizas S.A. (100%)</t>
  </si>
  <si>
    <t>https://www.cenizas.cl/faena-taltal</t>
  </si>
  <si>
    <t>60001 t/a</t>
  </si>
  <si>
    <t>23.27°S</t>
  </si>
  <si>
    <t>69.32°W</t>
  </si>
  <si>
    <t>Compania Minera Lomas Bayas</t>
  </si>
  <si>
    <t>73000 t/a</t>
  </si>
  <si>
    <t>Glencore plc (100%)</t>
  </si>
  <si>
    <t>https://miningdataonline.com/property/140/Lomas-Bayas-Mine.aspx</t>
  </si>
  <si>
    <t>Magnetic seperation</t>
  </si>
  <si>
    <t>28.30°S</t>
  </si>
  <si>
    <t>70.81°</t>
  </si>
  <si>
    <t>7724000 t/a</t>
  </si>
  <si>
    <t>Invercap S. A. (31.3%)</t>
  </si>
  <si>
    <t>Mitsubishi Materials Corp. (19.3%)</t>
  </si>
  <si>
    <t>Free Float (49.1%)</t>
  </si>
  <si>
    <t>7724001 t/a</t>
  </si>
  <si>
    <t>23.44°S</t>
  </si>
  <si>
    <t>70.07°W</t>
  </si>
  <si>
    <t>Minera Mantos Blancos S.A.</t>
  </si>
  <si>
    <t>Mantos Copper Holding SpA (100%)</t>
  </si>
  <si>
    <t>decomissioned</t>
  </si>
  <si>
    <t xml:space="preserve"> 22°23'00"S</t>
  </si>
  <si>
    <t>70°12'34"W</t>
  </si>
  <si>
    <t xml:space="preserve">Compania Mantos de La Luna </t>
  </si>
  <si>
    <t>25000 t/a</t>
  </si>
  <si>
    <t> Compañía Minera Gatico SA (100%)</t>
  </si>
  <si>
    <t>https://thediggings.com/mines/usgs10104603</t>
  </si>
  <si>
    <t>https://www.guiaminera.cl/compania-minera-mantos-de-la-luna-s-a/</t>
  </si>
  <si>
    <t xml:space="preserve"> 22°22'55"S</t>
  </si>
  <si>
    <t>70°10'50"W</t>
  </si>
  <si>
    <t>26° 33' 38'' S</t>
  </si>
  <si>
    <t>70° 19' 27'' W</t>
  </si>
  <si>
    <t>Mantoverda S. A.</t>
  </si>
  <si>
    <t>Mantos Copper Holding SpA (70%)</t>
  </si>
  <si>
    <t>Mitsubishi Materials Corp. (30%)</t>
  </si>
  <si>
    <t>https://miningdataonline.com/property/373/Sweetwater-Mine.aspx</t>
  </si>
  <si>
    <t>Care &amp; Maintanance, restart planned</t>
  </si>
  <si>
    <t>OP-&gt;UG</t>
  </si>
  <si>
    <t xml:space="preserve"> 22°44'01"S</t>
  </si>
  <si>
    <t>70°09'56"W</t>
  </si>
  <si>
    <t>Haldemann Mining Company (HMC)</t>
  </si>
  <si>
    <t>https://pilotaje.cl/minera-michilla-sitio-de-prueba/</t>
  </si>
  <si>
    <t>https://thediggings.com/mines/19031</t>
  </si>
  <si>
    <t>https://www.aminerals.cl/comunicaciones/noticias/2016/se-acuerda-traspaso-de-minera-michilla-a-haldeman-mining-company-sa/</t>
  </si>
  <si>
    <t xml:space="preserve"> 22°41'39"S</t>
  </si>
  <si>
    <t>70°13'26"W</t>
  </si>
  <si>
    <t>https://thediggings.com/mines/19032</t>
  </si>
  <si>
    <t xml:space="preserve"> 22°42'56"S</t>
  </si>
  <si>
    <t>70°15'28"W</t>
  </si>
  <si>
    <t>https://thediggings.com/mines/19033</t>
  </si>
  <si>
    <t xml:space="preserve"> 22°43'13"S</t>
  </si>
  <si>
    <t>70°13'56"W</t>
  </si>
  <si>
    <t>https://thediggings.com/mines/19034</t>
  </si>
  <si>
    <t xml:space="preserve"> 22°43'01"S</t>
  </si>
  <si>
    <t>70°10'54"W</t>
  </si>
  <si>
    <t>https://thediggings.com/mines/19035</t>
  </si>
  <si>
    <t xml:space="preserve"> 22°42'48"S</t>
  </si>
  <si>
    <t>70°11'46"W</t>
  </si>
  <si>
    <t>https://thediggings.com/mines/19036</t>
  </si>
  <si>
    <t xml:space="preserve"> 22°43'02"S</t>
  </si>
  <si>
    <t>70°10'06"W</t>
  </si>
  <si>
    <t>https://thediggings.com/mines/19037</t>
  </si>
  <si>
    <t xml:space="preserve"> 22°38'49"S</t>
  </si>
  <si>
    <t>70°14'41"W</t>
  </si>
  <si>
    <t>https://thediggings.com/mines/19038</t>
  </si>
  <si>
    <t xml:space="preserve"> 22°36'19"S</t>
  </si>
  <si>
    <t>70°10'00"W</t>
  </si>
  <si>
    <t>https://thediggings.com/mines/19039</t>
  </si>
  <si>
    <t xml:space="preserve"> 22°40'38"S</t>
  </si>
  <si>
    <t>70°14'15"W</t>
  </si>
  <si>
    <t>https://thediggings.com/mines/19040</t>
  </si>
  <si>
    <t xml:space="preserve"> 22°41'12"S</t>
  </si>
  <si>
    <t>70°10'51"W</t>
  </si>
  <si>
    <t>https://thediggings.com/mines/19041</t>
  </si>
  <si>
    <t xml:space="preserve"> 22°39'34"S</t>
  </si>
  <si>
    <t>70°07'08"W</t>
  </si>
  <si>
    <t>https://thediggings.com/mines/19042</t>
  </si>
  <si>
    <t xml:space="preserve"> 22°39'52"S</t>
  </si>
  <si>
    <t>70°11'11"W</t>
  </si>
  <si>
    <t>https://thediggings.com/mines/19043</t>
  </si>
  <si>
    <t xml:space="preserve"> 22°45'35"S</t>
  </si>
  <si>
    <t>70°13'10"W</t>
  </si>
  <si>
    <t>https://thediggings.com/mines/19044</t>
  </si>
  <si>
    <t xml:space="preserve"> 22°45'17"S</t>
  </si>
  <si>
    <t>70°13'19"W</t>
  </si>
  <si>
    <t>https://thediggings.com/mines/19045</t>
  </si>
  <si>
    <t xml:space="preserve"> 22°44'37"S</t>
  </si>
  <si>
    <t>70°14'05"W</t>
  </si>
  <si>
    <t>https://thediggings.com/mines/19046</t>
  </si>
  <si>
    <t>34°02′38″S</t>
  </si>
  <si>
    <t>71°02′06″ W</t>
  </si>
  <si>
    <t>Minera Florida Ltda</t>
  </si>
  <si>
    <t>2547 kg/a</t>
  </si>
  <si>
    <t>https://www.yamana.com/portfolio/producing-mines/minera-florida/default.aspx</t>
  </si>
  <si>
    <t>https://s28.q4cdn.com/334653565/files/doc_financials/2020/Yamana-AR20_FINAL-for-web_210325.pdf</t>
  </si>
  <si>
    <t>2548 kg/a</t>
  </si>
  <si>
    <t>stopped due to environmental impacts</t>
  </si>
  <si>
    <t>52°52′35″S</t>
  </si>
  <si>
    <t>71°38′28″ W</t>
  </si>
  <si>
    <t>Mina Invierno S.A.</t>
  </si>
  <si>
    <t>Inversiones Ultraterra Limited(50%)</t>
  </si>
  <si>
    <t>Empresas Copec S.A. (50%)</t>
  </si>
  <si>
    <t>https://www.minainvierno.cl/en/about-us/</t>
  </si>
  <si>
    <t>https://www.minainvierno.cl/en/operation-mina-invierno/</t>
  </si>
  <si>
    <t>Minera Pecket</t>
  </si>
  <si>
    <t>52°59′20″S</t>
  </si>
  <si>
    <t>71°06′18″ W</t>
  </si>
  <si>
    <t>INGESUR</t>
  </si>
  <si>
    <t>https://infofirma.sea.gob.cl/DocumentosSEA/MostrarDocumento?docId=06/3f/5b54c96293c3af84ec635586d048cc6344bd</t>
  </si>
  <si>
    <t>https://www.alertaislariesco.cl/?page_id=1857</t>
  </si>
  <si>
    <t>https://elpinguino.com/noticias/113368/Pecket-sigue-generando-inters-de-los-inversionistas</t>
  </si>
  <si>
    <t>Mina Poterillos</t>
  </si>
  <si>
    <t>decomissioned in 1959</t>
  </si>
  <si>
    <t>26° 30' 09'' S</t>
  </si>
  <si>
    <t>69° 23' 50'' W</t>
  </si>
  <si>
    <t>Andes copper mining company</t>
  </si>
  <si>
    <t>https://www.britannica.com/place/Potrerillos</t>
  </si>
  <si>
    <t>26° 29' 31'' S</t>
  </si>
  <si>
    <t>69° 25' 20'' W</t>
  </si>
  <si>
    <t>Los Pelambres</t>
  </si>
  <si>
    <t>31° 42' 50'' S</t>
  </si>
  <si>
    <t>70° 29' 20'' W</t>
  </si>
  <si>
    <t>Minera Los Pelambres S.A: (operator)</t>
  </si>
  <si>
    <t>0.7%</t>
  </si>
  <si>
    <t>359600 t/a</t>
  </si>
  <si>
    <t>210 ppm</t>
  </si>
  <si>
    <t>0,05 ppm</t>
  </si>
  <si>
    <t>1709,4762 kg/a</t>
  </si>
  <si>
    <t>Antofagasta PLC (60%)</t>
  </si>
  <si>
    <t>JX Nippon Mining &amp; Metals Corp. (15,79%)</t>
  </si>
  <si>
    <t>Mitsubishi Materials Corp. (10%)</t>
  </si>
  <si>
    <t>Marubeni Corp. (9,21%)</t>
  </si>
  <si>
    <t>Mitsubishi Corp. (5%)</t>
  </si>
  <si>
    <t>https://miningdataonline.com/property/176/Los-Pelambres-Mine.aspx</t>
  </si>
  <si>
    <t>https://www.mining-technology.com/projects/minera_los/</t>
  </si>
  <si>
    <t>211 ppm</t>
  </si>
  <si>
    <t>Miner el Algarrobo</t>
  </si>
  <si>
    <t>decomissioned in 1998</t>
  </si>
  <si>
    <t>28°48′40″S</t>
  </si>
  <si>
    <t>70°59′23″ W</t>
  </si>
  <si>
    <t>Compañía Minera del Pacífico</t>
  </si>
  <si>
    <t>https://www.cmp.cl/capmineria/site/edic/base/port/operaciones.html</t>
  </si>
  <si>
    <t>https://www.youtube.com/watch?v=6p_79ccl-w0</t>
  </si>
  <si>
    <t>22.41°S</t>
  </si>
  <si>
    <t>68.91°W</t>
  </si>
  <si>
    <t>195485 t/a</t>
  </si>
  <si>
    <t>Monte Cristo Copper Mine</t>
  </si>
  <si>
    <t>decomissioned in 2005</t>
  </si>
  <si>
    <t>24° 58' 32'' S</t>
  </si>
  <si>
    <t>70° 23' 49'' W</t>
  </si>
  <si>
    <t>https://thediggings.com/mines/usgs10058443</t>
  </si>
  <si>
    <t>https://www.guiaminera.cl/compania-minera-nova-ventura/</t>
  </si>
  <si>
    <t>not clearly identified - landfill or former expliration area</t>
  </si>
  <si>
    <t>landfill or former expliration area</t>
  </si>
  <si>
    <t>not clearly identified - probably civil engineering contractor</t>
  </si>
  <si>
    <t>28°35′57″S</t>
  </si>
  <si>
    <t>70°46′09″ W</t>
  </si>
  <si>
    <t>27° 29' 59'' S</t>
  </si>
  <si>
    <t>70° 15' 20'' W</t>
  </si>
  <si>
    <t>Pimenton</t>
  </si>
  <si>
    <t>32°29′20″S</t>
  </si>
  <si>
    <t>70°12′05″ W</t>
  </si>
  <si>
    <t>Cerro Grande Mining Corporation (operator)</t>
  </si>
  <si>
    <t>2175 oz</t>
  </si>
  <si>
    <t>6.16 ppm</t>
  </si>
  <si>
    <t>141 kg/a</t>
  </si>
  <si>
    <t>6.21 ppm</t>
  </si>
  <si>
    <t>Cerro Grande Mining Corporation (100%)</t>
  </si>
  <si>
    <t>http://www.cegmining.com/sites/default/files/CEM_PIM_(final_Jul21)_Updated_Pimenton_Mine_Report_BB-JAM_July25-2016.pdf</t>
  </si>
  <si>
    <t>http://www.cegmining.com/sites/default/files/2020/New_%20Release_September_14_2020.pdf</t>
  </si>
  <si>
    <t>30.86°S</t>
  </si>
  <si>
    <t>71.23°W</t>
  </si>
  <si>
    <t>Minera BMR SpA &amp; Battery Mineral Resources Corp. (both operators)</t>
  </si>
  <si>
    <t>3100 t/a</t>
  </si>
  <si>
    <t>0,07 ppm</t>
  </si>
  <si>
    <t>113 kg/a</t>
  </si>
  <si>
    <t>5,64 ppm</t>
  </si>
  <si>
    <t>1219 kg/a</t>
  </si>
  <si>
    <t>Xiana Mining Inc. (100%)</t>
  </si>
  <si>
    <t>https://miningdataonline.com/property/166/Punitaqui-Mine.aspx</t>
  </si>
  <si>
    <t>operational (commissioning of Phase 2)</t>
  </si>
  <si>
    <t>21° 00' 14'' S</t>
  </si>
  <si>
    <t>68° 48' 16'' W</t>
  </si>
  <si>
    <t>Teck (operator)</t>
  </si>
  <si>
    <t>286000 t/a</t>
  </si>
  <si>
    <t>1.4 ppm</t>
  </si>
  <si>
    <t>1900 kg/a</t>
  </si>
  <si>
    <t>Tech Resources (60%)</t>
  </si>
  <si>
    <t>Sumitomo Metal Mining Co. (30%)</t>
  </si>
  <si>
    <t>ENAMI (10%)</t>
  </si>
  <si>
    <t>https://www.miningnewsfeed.com/reports/Quebrada_Blanca_Phase_2_Technical_Report_01012019.pdf</t>
  </si>
  <si>
    <t>https://www.teck.com/operaciones-es/chile-es/operaciones-es/quebrada-blanca-es/</t>
  </si>
  <si>
    <t>https://miningdataonline.com/property/167/Quebrada-Blanca-Mine.aspx</t>
  </si>
  <si>
    <t xml:space="preserve">Refugio </t>
  </si>
  <si>
    <t>Reclamation</t>
  </si>
  <si>
    <t>Heap leach, carbon adsorption-desorption-recovery (ADR), SX-EW</t>
  </si>
  <si>
    <t>27° 33' 05'' S</t>
  </si>
  <si>
    <t>69° 17' 49'' W</t>
  </si>
  <si>
    <t>Compania Minera Maricunga S. A.</t>
  </si>
  <si>
    <t>0,67 ppm</t>
  </si>
  <si>
    <t>4976 kg/a</t>
  </si>
  <si>
    <t>https://miningdataonline.com/property/135/Maricunga-Refugio-Mine.aspx</t>
  </si>
  <si>
    <t>4977 kg/a</t>
  </si>
  <si>
    <t>4978 kg/a</t>
  </si>
  <si>
    <t>Pyrometallurgical plant, smelting, flotation</t>
  </si>
  <si>
    <t>26.14°S</t>
  </si>
  <si>
    <t>Codelco Corp. (opeator)</t>
  </si>
  <si>
    <t>60840 t/a</t>
  </si>
  <si>
    <t>354 kg/a</t>
  </si>
  <si>
    <t>35497 kg/a</t>
  </si>
  <si>
    <t>https://miningdataonline.com/property/993/Salvador-Mine.aspx</t>
  </si>
  <si>
    <t>https://www.miningnewsfeed.com/reports/annual/codelco_annual_report_2018.pdf</t>
  </si>
  <si>
    <t>60841 t/a</t>
  </si>
  <si>
    <t>355 kg/a</t>
  </si>
  <si>
    <t>35498 kg/a</t>
  </si>
  <si>
    <t>60842 t/a</t>
  </si>
  <si>
    <t>356 kg/a</t>
  </si>
  <si>
    <t>35499 kg/a</t>
  </si>
  <si>
    <t>60843 t/a</t>
  </si>
  <si>
    <t>357 kg/a</t>
  </si>
  <si>
    <t>35500 kg/a</t>
  </si>
  <si>
    <t>60844 t/a</t>
  </si>
  <si>
    <t>358 kg/a</t>
  </si>
  <si>
    <t>35501 kg/a</t>
  </si>
  <si>
    <t>27° 28' 31'' S</t>
  </si>
  <si>
    <t>70° 15' 35'' W</t>
  </si>
  <si>
    <t>27° 29' 00'' S</t>
  </si>
  <si>
    <t>70° 17' 09'' W</t>
  </si>
  <si>
    <t>22° 85' S</t>
  </si>
  <si>
    <t>69° 34' W</t>
  </si>
  <si>
    <t>Sierra Gorda S.C.M (operator)</t>
  </si>
  <si>
    <t>81800 t/a</t>
  </si>
  <si>
    <t>0,059 ppm</t>
  </si>
  <si>
    <t>27600 kg/a</t>
  </si>
  <si>
    <t>KGHM Polska Miedz S.A. (55%)</t>
  </si>
  <si>
    <t>Sumitomo Metal Mining Co., Ltd (31,5%)</t>
  </si>
  <si>
    <t>Sumitomo Corporation (13,5%)</t>
  </si>
  <si>
    <t>https://miningdataonline.com/property/170/Sierra-Gorda-Mine.aspx</t>
  </si>
  <si>
    <t>27601 kg/a</t>
  </si>
  <si>
    <t>212 ppm</t>
  </si>
  <si>
    <t>27602 kg/a</t>
  </si>
  <si>
    <t xml:space="preserve"> 22°48'37"S</t>
  </si>
  <si>
    <t>69°23'15"W</t>
  </si>
  <si>
    <t>213 ppm</t>
  </si>
  <si>
    <t>27603 kg/a</t>
  </si>
  <si>
    <t>27604 kg/a</t>
  </si>
  <si>
    <t>22.81°S</t>
  </si>
  <si>
    <t>69.27°W</t>
  </si>
  <si>
    <t>Minera Spence S. A.</t>
  </si>
  <si>
    <t>200000  t/a</t>
  </si>
  <si>
    <t>https://miningdataonline.com/property/169/Spence-Mine.aspx</t>
  </si>
  <si>
    <t>31°42′08″S</t>
  </si>
  <si>
    <t>70°55′34″ W</t>
  </si>
  <si>
    <t>Minera Tres Valles</t>
  </si>
  <si>
    <t>18500 t/a</t>
  </si>
  <si>
    <t>Vecchiola S. A (8,9%)</t>
  </si>
  <si>
    <t>Three Valley Copper Corp. (91,1 %)</t>
  </si>
  <si>
    <t>https://miningdataonline.com/property/3081/Tres-Valles-Mine.aspx#Processing</t>
  </si>
  <si>
    <t>18501 t/a</t>
  </si>
  <si>
    <t>18502 t/a</t>
  </si>
  <si>
    <t>18503 t/a</t>
  </si>
  <si>
    <t>18504 t/a</t>
  </si>
  <si>
    <t>18505 t/a</t>
  </si>
  <si>
    <t>241.4 t/a</t>
  </si>
  <si>
    <t>landfill or former exploration area</t>
  </si>
  <si>
    <t>decomissioned (2016)</t>
  </si>
  <si>
    <t>decomissioned (1977)</t>
  </si>
  <si>
    <t>care &amp; maintanance (since 2015)</t>
  </si>
  <si>
    <t>landfill - no mining operation</t>
  </si>
  <si>
    <t>decomissioned (2002)</t>
  </si>
  <si>
    <t>Metal/Commodity</t>
  </si>
  <si>
    <t>C1</t>
  </si>
  <si>
    <t>C2</t>
  </si>
  <si>
    <t>C3</t>
  </si>
  <si>
    <t>C4</t>
  </si>
  <si>
    <t>unique</t>
  </si>
  <si>
    <t>occurences</t>
  </si>
  <si>
    <t>Tons/a</t>
  </si>
  <si>
    <t>SQL Query on CSV File:</t>
  </si>
  <si>
    <t>Production in Tons per Year</t>
  </si>
  <si>
    <t>SELECT CAST(Col13 as INT), CAST(Col16 as INT), CAST(Col19 as INT), CAST(Col22 as INT), SUM(Col13) as "sum1", SUM(Col16) as "sum2", SUM(Col19) as "sum3", SUM(Col22) as "sum4" FROM THIS WHERE "Pb" IN (MetalCommodity4)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</si>
</sst>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 #,##0.00_-;_-* &quot;-&quot;??_-;_-@_-"/>
    <numFmt numFmtId="165" formatCode="_-* #,##0_-;\-* #,##0_-;_-* &quot;-&quot;??_-;_-@_-"/>
    <numFmt numFmtId="166" formatCode="0.0"/>
    <numFmt numFmtId="167" formatCode="0.000%"/>
  </numFmts>
  <fonts count="14">
    <font>
      <sz val="12"/>
      <color theme="1"/>
      <name val="Calibri"/>
      <scheme val="minor"/>
    </font>
    <font>
      <u/>
      <sz val="12"/>
      <color theme="10"/>
      <name val="Calibri"/>
      <scheme val="minor"/>
    </font>
    <font>
      <sz val="12"/>
      <name val="Calibri"/>
      <scheme val="minor"/>
    </font>
    <font>
      <b/>
      <sz val="11"/>
      <color theme="0"/>
      <name val="Calibri"/>
      <scheme val="minor"/>
    </font>
    <font>
      <b/>
      <sz val="12"/>
      <color theme="0"/>
      <name val="Calibri"/>
      <scheme val="minor"/>
    </font>
    <font>
      <b/>
      <sz val="11"/>
      <color indexed="65"/>
      <name val="Calibri"/>
      <scheme val="minor"/>
    </font>
    <font>
      <sz val="11"/>
      <name val="Calibri"/>
      <scheme val="minor"/>
    </font>
    <font>
      <sz val="12"/>
      <color theme="1"/>
      <name val="Calibri"/>
    </font>
    <font>
      <sz val="10"/>
      <color rgb="FF3C3C3C"/>
      <name val="Lato"/>
    </font>
    <font>
      <sz val="12"/>
      <color rgb="FF3C3C3C"/>
      <name val="Calibri"/>
      <scheme val="minor"/>
    </font>
    <font>
      <sz val="12"/>
      <color theme="1"/>
      <name val="Calibri"/>
      <scheme val="minor"/>
    </font>
    <font>
      <b/>
      <sz val="11"/>
      <color theme="0"/>
      <name val="Calibri"/>
      <family val="2"/>
      <scheme val="minor"/>
    </font>
    <font>
      <sz val="12"/>
      <color theme="1"/>
      <name val="Calibri"/>
      <family val="2"/>
      <scheme val="minor"/>
    </font>
    <font>
      <b/>
      <sz val="12"/>
      <color theme="1"/>
      <name val="Calibri"/>
      <family val="2"/>
      <scheme val="minor"/>
    </font>
  </fonts>
  <fills count="21">
    <fill>
      <patternFill patternType="none"/>
    </fill>
    <fill>
      <patternFill patternType="gray125"/>
    </fill>
    <fill>
      <patternFill patternType="solid">
        <fgColor theme="3"/>
        <bgColor theme="4"/>
      </patternFill>
    </fill>
    <fill>
      <patternFill patternType="solid">
        <fgColor theme="4"/>
        <bgColor theme="4"/>
      </patternFill>
    </fill>
    <fill>
      <patternFill patternType="solid">
        <fgColor theme="9"/>
        <bgColor theme="4"/>
      </patternFill>
    </fill>
    <fill>
      <patternFill patternType="solid">
        <fgColor theme="5"/>
        <bgColor theme="4"/>
      </patternFill>
    </fill>
    <fill>
      <patternFill patternType="solid">
        <fgColor theme="7"/>
        <bgColor theme="4"/>
      </patternFill>
    </fill>
    <fill>
      <patternFill patternType="solid">
        <fgColor theme="6"/>
        <bgColor theme="4"/>
      </patternFill>
    </fill>
    <fill>
      <patternFill patternType="solid">
        <fgColor theme="4"/>
        <bgColor theme="4"/>
      </patternFill>
    </fill>
    <fill>
      <patternFill patternType="solid">
        <fgColor theme="3"/>
        <bgColor theme="3"/>
      </patternFill>
    </fill>
    <fill>
      <patternFill patternType="solid">
        <fgColor theme="9"/>
        <bgColor theme="9"/>
      </patternFill>
    </fill>
    <fill>
      <patternFill patternType="solid">
        <fgColor theme="5"/>
        <bgColor theme="5"/>
      </patternFill>
    </fill>
    <fill>
      <patternFill patternType="solid">
        <fgColor theme="7"/>
        <bgColor theme="7"/>
      </patternFill>
    </fill>
    <fill>
      <patternFill patternType="solid">
        <fgColor theme="6"/>
        <bgColor theme="6"/>
      </patternFill>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5" tint="0.79998168889431442"/>
        <bgColor theme="5" tint="0.79998168889431442"/>
      </patternFill>
    </fill>
    <fill>
      <patternFill patternType="solid">
        <fgColor theme="7" tint="0.79998168889431442"/>
        <bgColor theme="7" tint="0.79998168889431442"/>
      </patternFill>
    </fill>
    <fill>
      <patternFill patternType="solid">
        <fgColor theme="6" tint="0.79998168889431442"/>
        <bgColor theme="6" tint="0.79998168889431442"/>
      </patternFill>
    </fill>
    <fill>
      <patternFill patternType="solid">
        <fgColor theme="0" tint="-4.9989318521683403E-2"/>
        <bgColor theme="0" tint="-4.9989318521683403E-2"/>
      </patternFill>
    </fill>
    <fill>
      <patternFill patternType="solid">
        <fgColor theme="0"/>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s>
  <cellStyleXfs count="3">
    <xf numFmtId="0" fontId="0" fillId="0" borderId="0"/>
    <xf numFmtId="164" fontId="10" fillId="0" borderId="0" applyFont="0" applyFill="0" applyBorder="0"/>
    <xf numFmtId="0" fontId="1" fillId="0" borderId="0" applyNumberFormat="0" applyFill="0" applyBorder="0"/>
  </cellStyleXfs>
  <cellXfs count="195">
    <xf numFmtId="0" fontId="0" fillId="0" borderId="0" xfId="0"/>
    <xf numFmtId="0" fontId="0" fillId="14" borderId="8" xfId="0" applyFill="1" applyBorder="1"/>
    <xf numFmtId="0" fontId="0" fillId="14" borderId="1" xfId="0" applyFill="1" applyBorder="1"/>
    <xf numFmtId="0" fontId="0" fillId="14" borderId="9" xfId="0" applyFill="1" applyBorder="1"/>
    <xf numFmtId="0" fontId="0" fillId="14" borderId="2" xfId="0" applyFill="1" applyBorder="1" applyAlignment="1">
      <alignment horizontal="left"/>
    </xf>
    <xf numFmtId="0" fontId="0" fillId="15" borderId="1" xfId="0" applyFill="1" applyBorder="1" applyAlignment="1">
      <alignment horizontal="center"/>
    </xf>
    <xf numFmtId="0" fontId="0" fillId="16" borderId="1" xfId="0" applyFill="1" applyBorder="1" applyAlignment="1">
      <alignment horizontal="center" vertical="center"/>
    </xf>
    <xf numFmtId="0" fontId="0" fillId="16" borderId="1" xfId="0" applyFill="1" applyBorder="1" applyAlignment="1">
      <alignment horizontal="center"/>
    </xf>
    <xf numFmtId="0" fontId="0" fillId="17" borderId="1" xfId="0" applyFill="1" applyBorder="1" applyAlignment="1">
      <alignment horizontal="center" vertical="center"/>
    </xf>
    <xf numFmtId="0" fontId="0" fillId="18" borderId="1" xfId="0" applyFill="1" applyBorder="1" applyAlignment="1">
      <alignment horizontal="center" vertical="center"/>
    </xf>
    <xf numFmtId="0" fontId="0" fillId="19" borderId="1" xfId="0" applyFill="1" applyBorder="1"/>
    <xf numFmtId="0" fontId="0" fillId="19" borderId="1" xfId="0" applyFill="1" applyBorder="1" applyAlignment="1">
      <alignment horizontal="center"/>
    </xf>
    <xf numFmtId="0" fontId="1" fillId="19" borderId="1" xfId="2" applyFont="1" applyFill="1" applyBorder="1"/>
    <xf numFmtId="10" fontId="0" fillId="15" borderId="1" xfId="0" applyNumberFormat="1" applyFill="1" applyBorder="1" applyAlignment="1">
      <alignment horizontal="center" vertical="center"/>
    </xf>
    <xf numFmtId="167" fontId="0" fillId="16" borderId="1" xfId="0" applyNumberFormat="1" applyFill="1" applyBorder="1" applyAlignment="1">
      <alignment horizontal="center" vertical="center"/>
    </xf>
    <xf numFmtId="0" fontId="6" fillId="19" borderId="1" xfId="0" applyFont="1" applyFill="1" applyBorder="1"/>
    <xf numFmtId="0" fontId="2" fillId="14" borderId="9" xfId="0" applyFont="1" applyFill="1" applyBorder="1"/>
    <xf numFmtId="0" fontId="2" fillId="14" borderId="1" xfId="0" applyFont="1" applyFill="1" applyBorder="1"/>
    <xf numFmtId="10" fontId="2" fillId="15" borderId="1" xfId="0" applyNumberFormat="1" applyFont="1" applyFill="1" applyBorder="1" applyAlignment="1">
      <alignment horizontal="center" vertical="center"/>
    </xf>
    <xf numFmtId="0" fontId="2" fillId="16" borderId="1" xfId="0" applyFont="1" applyFill="1" applyBorder="1" applyAlignment="1">
      <alignment horizontal="center" vertical="center"/>
    </xf>
    <xf numFmtId="0" fontId="2" fillId="17" borderId="1" xfId="0" applyFont="1" applyFill="1" applyBorder="1" applyAlignment="1">
      <alignment horizontal="center" vertical="center"/>
    </xf>
    <xf numFmtId="165" fontId="2" fillId="18" borderId="1" xfId="0" applyNumberFormat="1" applyFont="1" applyFill="1" applyBorder="1" applyAlignment="1">
      <alignment horizontal="center" vertical="center"/>
    </xf>
    <xf numFmtId="0" fontId="2" fillId="19" borderId="1" xfId="0" applyFont="1" applyFill="1" applyBorder="1"/>
    <xf numFmtId="0" fontId="2" fillId="19" borderId="1" xfId="0" applyFont="1" applyFill="1" applyBorder="1" applyAlignment="1">
      <alignment horizontal="center"/>
    </xf>
    <xf numFmtId="0" fontId="7" fillId="14" borderId="1" xfId="0" applyFont="1" applyFill="1" applyBorder="1"/>
    <xf numFmtId="164" fontId="6" fillId="17" borderId="1" xfId="0" applyNumberFormat="1" applyFont="1" applyFill="1" applyBorder="1" applyAlignment="1">
      <alignment horizontal="center" vertical="center"/>
    </xf>
    <xf numFmtId="0" fontId="0" fillId="17" borderId="1" xfId="0" applyFill="1" applyBorder="1" applyAlignment="1">
      <alignment horizontal="center"/>
    </xf>
    <xf numFmtId="0" fontId="0" fillId="18" borderId="1" xfId="0" applyFill="1" applyBorder="1" applyAlignment="1">
      <alignment horizontal="center"/>
    </xf>
    <xf numFmtId="10" fontId="0" fillId="15" borderId="1" xfId="0" applyNumberFormat="1" applyFill="1" applyBorder="1" applyAlignment="1">
      <alignment horizontal="center"/>
    </xf>
    <xf numFmtId="0" fontId="0" fillId="14" borderId="2" xfId="0" applyFill="1" applyBorder="1"/>
    <xf numFmtId="10" fontId="0" fillId="16" borderId="1" xfId="0" applyNumberFormat="1" applyFill="1" applyBorder="1" applyAlignment="1">
      <alignment horizontal="center"/>
    </xf>
    <xf numFmtId="0" fontId="0" fillId="14" borderId="2" xfId="0" applyFill="1" applyBorder="1" applyAlignment="1">
      <alignment horizontal="left" vertical="center"/>
    </xf>
    <xf numFmtId="0" fontId="0" fillId="14" borderId="1" xfId="0" applyFill="1" applyBorder="1" applyAlignment="1">
      <alignment horizontal="left" vertical="center"/>
    </xf>
    <xf numFmtId="0" fontId="0" fillId="18" borderId="2" xfId="0" applyFill="1" applyBorder="1" applyAlignment="1">
      <alignment horizontal="left"/>
    </xf>
    <xf numFmtId="0" fontId="8" fillId="14" borderId="1" xfId="0" applyFont="1" applyFill="1" applyBorder="1"/>
    <xf numFmtId="0" fontId="9" fillId="14" borderId="1" xfId="0" applyFont="1" applyFill="1" applyBorder="1"/>
    <xf numFmtId="0" fontId="0" fillId="15" borderId="2" xfId="0" applyFill="1" applyBorder="1" applyAlignment="1">
      <alignment horizontal="center"/>
    </xf>
    <xf numFmtId="0" fontId="0" fillId="16" borderId="2" xfId="0" applyFill="1" applyBorder="1" applyAlignment="1">
      <alignment horizontal="center"/>
    </xf>
    <xf numFmtId="0" fontId="0" fillId="14" borderId="14" xfId="0" applyFill="1" applyBorder="1"/>
    <xf numFmtId="0" fontId="0" fillId="19" borderId="14" xfId="0" applyFill="1" applyBorder="1"/>
    <xf numFmtId="0" fontId="0" fillId="19" borderId="14" xfId="0" applyFill="1" applyBorder="1" applyAlignment="1">
      <alignment horizontal="center"/>
    </xf>
    <xf numFmtId="0" fontId="0" fillId="14" borderId="9" xfId="0" applyFill="1" applyBorder="1" applyAlignment="1">
      <alignment horizontal="center"/>
    </xf>
    <xf numFmtId="165" fontId="0" fillId="15" borderId="1" xfId="1" applyNumberFormat="1" applyFont="1" applyFill="1" applyBorder="1" applyAlignment="1">
      <alignment horizontal="center"/>
    </xf>
    <xf numFmtId="165" fontId="0" fillId="15" borderId="1" xfId="1" applyNumberFormat="1" applyFont="1" applyFill="1" applyBorder="1" applyAlignment="1">
      <alignment horizontal="center" vertical="center"/>
    </xf>
    <xf numFmtId="165" fontId="0" fillId="14" borderId="1" xfId="1" applyNumberFormat="1" applyFont="1" applyFill="1" applyBorder="1" applyAlignment="1">
      <alignment horizontal="left" vertical="center"/>
    </xf>
    <xf numFmtId="1" fontId="0" fillId="17" borderId="1" xfId="1" applyNumberFormat="1" applyFont="1" applyFill="1" applyBorder="1" applyAlignment="1">
      <alignment horizontal="center" vertical="center"/>
    </xf>
    <xf numFmtId="1" fontId="0" fillId="18" borderId="1" xfId="1" applyNumberFormat="1" applyFont="1" applyFill="1" applyBorder="1" applyAlignment="1">
      <alignment horizontal="center" vertical="center"/>
    </xf>
    <xf numFmtId="165" fontId="0" fillId="16" borderId="1" xfId="1" applyNumberFormat="1" applyFont="1" applyFill="1" applyBorder="1" applyAlignment="1">
      <alignment horizontal="center" vertical="center"/>
    </xf>
    <xf numFmtId="1" fontId="0" fillId="16" borderId="1" xfId="1" applyNumberFormat="1" applyFont="1" applyFill="1" applyBorder="1" applyAlignment="1">
      <alignment horizontal="center" vertical="center"/>
    </xf>
    <xf numFmtId="165" fontId="0" fillId="18" borderId="1" xfId="1" applyNumberFormat="1" applyFont="1" applyFill="1" applyBorder="1" applyAlignment="1">
      <alignment horizontal="center" vertical="center"/>
    </xf>
    <xf numFmtId="165" fontId="0" fillId="17" borderId="1" xfId="1" applyNumberFormat="1" applyFont="1" applyFill="1" applyBorder="1" applyAlignment="1">
      <alignment horizontal="center" vertical="center"/>
    </xf>
    <xf numFmtId="0" fontId="0" fillId="14" borderId="1" xfId="0" applyFill="1" applyBorder="1" applyAlignment="1">
      <alignment horizontal="left"/>
    </xf>
    <xf numFmtId="0" fontId="3" fillId="2" borderId="15" xfId="0" applyFont="1" applyFill="1" applyBorder="1"/>
    <xf numFmtId="0" fontId="3" fillId="2" borderId="16" xfId="0" applyFont="1" applyFill="1" applyBorder="1"/>
    <xf numFmtId="0" fontId="0" fillId="19" borderId="9" xfId="0" applyFill="1" applyBorder="1"/>
    <xf numFmtId="0" fontId="3" fillId="2" borderId="17" xfId="0" applyFont="1" applyFill="1" applyBorder="1"/>
    <xf numFmtId="0" fontId="0" fillId="15" borderId="2" xfId="0" applyFill="1" applyBorder="1" applyAlignment="1">
      <alignment horizontal="center" vertical="center"/>
    </xf>
    <xf numFmtId="0" fontId="2" fillId="15" borderId="2" xfId="0" applyFont="1" applyFill="1" applyBorder="1" applyAlignment="1">
      <alignment horizontal="center" vertical="center"/>
    </xf>
    <xf numFmtId="165" fontId="0" fillId="15" borderId="2" xfId="1" applyNumberFormat="1" applyFont="1" applyFill="1" applyBorder="1" applyAlignment="1">
      <alignment horizontal="center" vertical="center"/>
    </xf>
    <xf numFmtId="165" fontId="0" fillId="14" borderId="9" xfId="1" applyNumberFormat="1" applyFont="1" applyFill="1" applyBorder="1" applyAlignment="1">
      <alignment horizontal="center" vertical="center"/>
    </xf>
    <xf numFmtId="166" fontId="0" fillId="14" borderId="9" xfId="0" applyNumberFormat="1" applyFill="1" applyBorder="1" applyAlignment="1">
      <alignment horizontal="center" vertical="center"/>
    </xf>
    <xf numFmtId="166" fontId="2" fillId="14" borderId="9" xfId="0" applyNumberFormat="1" applyFont="1" applyFill="1" applyBorder="1" applyAlignment="1">
      <alignment horizontal="center" vertical="center"/>
    </xf>
    <xf numFmtId="166" fontId="0" fillId="14" borderId="9" xfId="1" applyNumberFormat="1" applyFont="1" applyFill="1" applyBorder="1" applyAlignment="1">
      <alignment horizontal="center" vertical="center"/>
    </xf>
    <xf numFmtId="166" fontId="0" fillId="14" borderId="9" xfId="0" applyNumberFormat="1" applyFill="1" applyBorder="1" applyAlignment="1">
      <alignment horizontal="center"/>
    </xf>
    <xf numFmtId="0" fontId="0" fillId="16" borderId="2" xfId="0" applyFill="1" applyBorder="1" applyAlignment="1">
      <alignment horizontal="center" vertical="center"/>
    </xf>
    <xf numFmtId="0" fontId="2" fillId="16" borderId="2" xfId="0" applyFont="1" applyFill="1" applyBorder="1" applyAlignment="1">
      <alignment horizontal="center" vertical="center"/>
    </xf>
    <xf numFmtId="0" fontId="0" fillId="15" borderId="9" xfId="0" applyFill="1" applyBorder="1" applyAlignment="1">
      <alignment horizontal="center"/>
    </xf>
    <xf numFmtId="165" fontId="0" fillId="15" borderId="9" xfId="1" applyNumberFormat="1" applyFont="1" applyFill="1" applyBorder="1" applyAlignment="1">
      <alignment horizontal="center"/>
    </xf>
    <xf numFmtId="165" fontId="2" fillId="15" borderId="9" xfId="1" applyNumberFormat="1" applyFont="1" applyFill="1" applyBorder="1" applyAlignment="1">
      <alignment horizontal="center"/>
    </xf>
    <xf numFmtId="165" fontId="0" fillId="15" borderId="9" xfId="1" applyNumberFormat="1" applyFont="1" applyFill="1" applyBorder="1" applyAlignment="1">
      <alignment horizontal="center" vertical="top"/>
    </xf>
    <xf numFmtId="165" fontId="0" fillId="15" borderId="9" xfId="1" applyNumberFormat="1" applyFont="1" applyFill="1" applyBorder="1" applyAlignment="1">
      <alignment horizontal="center" vertical="center"/>
    </xf>
    <xf numFmtId="0" fontId="0" fillId="17" borderId="2" xfId="0" applyFill="1" applyBorder="1" applyAlignment="1">
      <alignment horizontal="center" vertical="center"/>
    </xf>
    <xf numFmtId="0" fontId="2" fillId="17" borderId="2" xfId="0" applyFont="1" applyFill="1" applyBorder="1" applyAlignment="1">
      <alignment horizontal="center" vertical="center"/>
    </xf>
    <xf numFmtId="0" fontId="0" fillId="17" borderId="2" xfId="0" applyFill="1" applyBorder="1" applyAlignment="1">
      <alignment horizontal="center"/>
    </xf>
    <xf numFmtId="0" fontId="6" fillId="17" borderId="2" xfId="0" applyFont="1" applyFill="1" applyBorder="1" applyAlignment="1">
      <alignment horizontal="center" vertical="center"/>
    </xf>
    <xf numFmtId="1" fontId="0" fillId="16" borderId="9" xfId="0" applyNumberFormat="1" applyFill="1" applyBorder="1" applyAlignment="1">
      <alignment horizontal="center"/>
    </xf>
    <xf numFmtId="1" fontId="0" fillId="16" borderId="9" xfId="1" applyNumberFormat="1" applyFont="1" applyFill="1" applyBorder="1" applyAlignment="1">
      <alignment horizontal="center" vertical="center"/>
    </xf>
    <xf numFmtId="1" fontId="2" fillId="16" borderId="9" xfId="0" applyNumberFormat="1" applyFont="1" applyFill="1" applyBorder="1" applyAlignment="1">
      <alignment horizontal="center" vertical="center"/>
    </xf>
    <xf numFmtId="1" fontId="0" fillId="16" borderId="9" xfId="0" applyNumberFormat="1" applyFill="1" applyBorder="1" applyAlignment="1">
      <alignment horizontal="center" vertical="center"/>
    </xf>
    <xf numFmtId="165" fontId="0" fillId="16" borderId="9" xfId="1" applyNumberFormat="1" applyFont="1" applyFill="1" applyBorder="1" applyAlignment="1">
      <alignment horizontal="center" vertical="center"/>
    </xf>
    <xf numFmtId="0" fontId="0" fillId="16" borderId="9" xfId="0" applyFill="1" applyBorder="1" applyAlignment="1">
      <alignment horizontal="center"/>
    </xf>
    <xf numFmtId="0" fontId="0" fillId="16" borderId="9" xfId="0" applyFill="1" applyBorder="1" applyAlignment="1">
      <alignment horizontal="center" vertical="center"/>
    </xf>
    <xf numFmtId="0" fontId="0" fillId="18" borderId="2" xfId="0" applyFill="1" applyBorder="1" applyAlignment="1">
      <alignment horizontal="center" vertical="center"/>
    </xf>
    <xf numFmtId="0" fontId="2" fillId="18" borderId="2" xfId="0" applyFont="1" applyFill="1" applyBorder="1" applyAlignment="1">
      <alignment horizontal="center" vertical="center"/>
    </xf>
    <xf numFmtId="0" fontId="0" fillId="18" borderId="2" xfId="0" applyFill="1" applyBorder="1" applyAlignment="1">
      <alignment horizontal="center"/>
    </xf>
    <xf numFmtId="165" fontId="0" fillId="18" borderId="2" xfId="1" applyNumberFormat="1" applyFont="1" applyFill="1" applyBorder="1" applyAlignment="1">
      <alignment horizontal="center" vertical="center"/>
    </xf>
    <xf numFmtId="0" fontId="6" fillId="18" borderId="2" xfId="0" applyFont="1" applyFill="1" applyBorder="1" applyAlignment="1">
      <alignment horizontal="center" vertical="center"/>
    </xf>
    <xf numFmtId="1" fontId="0" fillId="17" borderId="9" xfId="1" applyNumberFormat="1" applyFont="1" applyFill="1" applyBorder="1" applyAlignment="1">
      <alignment horizontal="center" vertical="center"/>
    </xf>
    <xf numFmtId="1" fontId="2" fillId="17" borderId="9" xfId="0" applyNumberFormat="1" applyFont="1" applyFill="1" applyBorder="1" applyAlignment="1">
      <alignment horizontal="center" vertical="center"/>
    </xf>
    <xf numFmtId="165" fontId="0" fillId="17" borderId="9" xfId="1" applyNumberFormat="1" applyFont="1" applyFill="1" applyBorder="1" applyAlignment="1">
      <alignment horizontal="center" vertical="center"/>
    </xf>
    <xf numFmtId="1" fontId="0" fillId="17" borderId="9" xfId="0" applyNumberFormat="1" applyFill="1" applyBorder="1" applyAlignment="1">
      <alignment horizontal="center"/>
    </xf>
    <xf numFmtId="0" fontId="0" fillId="17" borderId="9" xfId="0" applyFill="1" applyBorder="1" applyAlignment="1">
      <alignment horizontal="center" vertical="center"/>
    </xf>
    <xf numFmtId="0" fontId="0" fillId="17" borderId="9" xfId="0" applyFill="1" applyBorder="1" applyAlignment="1">
      <alignment horizontal="center"/>
    </xf>
    <xf numFmtId="1" fontId="0" fillId="17" borderId="9" xfId="1" applyNumberFormat="1" applyFont="1" applyFill="1" applyBorder="1" applyAlignment="1">
      <alignment horizontal="center"/>
    </xf>
    <xf numFmtId="0" fontId="0" fillId="19" borderId="2" xfId="0" applyFill="1" applyBorder="1"/>
    <xf numFmtId="0" fontId="6" fillId="19" borderId="2" xfId="0" applyFont="1" applyFill="1" applyBorder="1"/>
    <xf numFmtId="0" fontId="2" fillId="19" borderId="2" xfId="0" applyFont="1" applyFill="1" applyBorder="1"/>
    <xf numFmtId="1" fontId="0" fillId="18" borderId="9" xfId="1" applyNumberFormat="1" applyFont="1" applyFill="1" applyBorder="1" applyAlignment="1">
      <alignment horizontal="center" vertical="center"/>
    </xf>
    <xf numFmtId="1" fontId="0" fillId="18" borderId="9" xfId="1" applyNumberFormat="1" applyFont="1" applyFill="1" applyBorder="1" applyAlignment="1">
      <alignment horizontal="center"/>
    </xf>
    <xf numFmtId="1" fontId="2" fillId="18" borderId="9" xfId="0" applyNumberFormat="1" applyFont="1" applyFill="1" applyBorder="1" applyAlignment="1">
      <alignment horizontal="center" vertical="center"/>
    </xf>
    <xf numFmtId="1" fontId="0" fillId="18" borderId="9" xfId="0" applyNumberFormat="1" applyFill="1" applyBorder="1" applyAlignment="1">
      <alignment horizontal="center"/>
    </xf>
    <xf numFmtId="165" fontId="0" fillId="18" borderId="9" xfId="1" applyNumberFormat="1" applyFont="1" applyFill="1" applyBorder="1" applyAlignment="1">
      <alignment horizontal="center" vertical="center"/>
    </xf>
    <xf numFmtId="0" fontId="0" fillId="18" borderId="9" xfId="0" applyFill="1" applyBorder="1" applyAlignment="1">
      <alignment horizontal="center" vertical="center"/>
    </xf>
    <xf numFmtId="0" fontId="0" fillId="18" borderId="9" xfId="0" applyFill="1" applyBorder="1" applyAlignment="1">
      <alignment horizontal="center"/>
    </xf>
    <xf numFmtId="0" fontId="1" fillId="19" borderId="2" xfId="2" applyFont="1" applyFill="1" applyBorder="1"/>
    <xf numFmtId="0" fontId="0" fillId="19" borderId="9" xfId="0" applyFill="1" applyBorder="1" applyAlignment="1">
      <alignment horizontal="center"/>
    </xf>
    <xf numFmtId="0" fontId="2" fillId="19" borderId="9" xfId="0" applyFont="1" applyFill="1" applyBorder="1" applyAlignment="1">
      <alignment horizontal="center"/>
    </xf>
    <xf numFmtId="0" fontId="6" fillId="19" borderId="9" xfId="0" applyFont="1" applyFill="1" applyBorder="1" applyAlignment="1">
      <alignment horizontal="center"/>
    </xf>
    <xf numFmtId="0" fontId="0" fillId="14" borderId="4" xfId="0" applyFill="1" applyBorder="1"/>
    <xf numFmtId="0" fontId="0" fillId="14" borderId="5" xfId="0" applyFill="1" applyBorder="1"/>
    <xf numFmtId="0" fontId="0" fillId="14" borderId="6" xfId="0" applyFill="1" applyBorder="1"/>
    <xf numFmtId="0" fontId="0" fillId="14" borderId="7" xfId="0" applyFill="1" applyBorder="1" applyAlignment="1">
      <alignment horizontal="left"/>
    </xf>
    <xf numFmtId="0" fontId="0" fillId="15" borderId="7" xfId="0" applyFill="1" applyBorder="1" applyAlignment="1">
      <alignment horizontal="center"/>
    </xf>
    <xf numFmtId="0" fontId="0" fillId="16" borderId="7" xfId="0" applyFill="1" applyBorder="1" applyAlignment="1">
      <alignment horizontal="center" vertical="center"/>
    </xf>
    <xf numFmtId="0" fontId="0" fillId="19" borderId="7" xfId="0" applyFill="1" applyBorder="1"/>
    <xf numFmtId="0" fontId="0" fillId="19" borderId="5" xfId="0" applyFill="1" applyBorder="1" applyAlignment="1">
      <alignment horizontal="center"/>
    </xf>
    <xf numFmtId="0" fontId="0" fillId="19" borderId="6" xfId="0" applyFill="1" applyBorder="1" applyAlignment="1">
      <alignment horizontal="center"/>
    </xf>
    <xf numFmtId="0" fontId="0" fillId="19" borderId="5" xfId="0" applyFill="1" applyBorder="1"/>
    <xf numFmtId="0" fontId="0" fillId="9" borderId="10" xfId="0" applyFill="1" applyBorder="1"/>
    <xf numFmtId="0" fontId="0" fillId="9" borderId="11" xfId="0" applyFill="1" applyBorder="1"/>
    <xf numFmtId="0" fontId="3" fillId="9" borderId="12" xfId="0" applyFont="1" applyFill="1" applyBorder="1"/>
    <xf numFmtId="0" fontId="3" fillId="0" borderId="18" xfId="0" applyFont="1" applyBorder="1" applyAlignment="1">
      <alignment horizontal="left"/>
    </xf>
    <xf numFmtId="0" fontId="3" fillId="0" borderId="11" xfId="0" applyFont="1" applyBorder="1"/>
    <xf numFmtId="0" fontId="3" fillId="0" borderId="12" xfId="0" applyFont="1" applyBorder="1" applyAlignment="1">
      <alignment horizontal="center" vertical="center"/>
    </xf>
    <xf numFmtId="0" fontId="3" fillId="10" borderId="11" xfId="0" applyFont="1" applyFill="1" applyBorder="1" applyAlignment="1">
      <alignment horizontal="center" vertical="center"/>
    </xf>
    <xf numFmtId="165" fontId="3" fillId="10" borderId="12" xfId="1" applyNumberFormat="1" applyFont="1" applyFill="1" applyBorder="1" applyAlignment="1">
      <alignment horizontal="center"/>
    </xf>
    <xf numFmtId="0" fontId="3" fillId="11" borderId="18" xfId="0" applyFont="1" applyFill="1" applyBorder="1" applyAlignment="1">
      <alignment horizontal="center" vertical="center"/>
    </xf>
    <xf numFmtId="0" fontId="3" fillId="11" borderId="11" xfId="0" applyFont="1" applyFill="1" applyBorder="1" applyAlignment="1">
      <alignment horizontal="center" vertical="center"/>
    </xf>
    <xf numFmtId="165" fontId="3" fillId="11" borderId="12" xfId="1" applyNumberFormat="1" applyFont="1" applyFill="1" applyBorder="1" applyAlignment="1">
      <alignment horizontal="right"/>
    </xf>
    <xf numFmtId="0" fontId="3" fillId="12" borderId="18" xfId="0" applyFont="1" applyFill="1" applyBorder="1" applyAlignment="1">
      <alignment horizontal="center" vertical="center"/>
    </xf>
    <xf numFmtId="0" fontId="3" fillId="12" borderId="11" xfId="0" applyFont="1" applyFill="1" applyBorder="1" applyAlignment="1">
      <alignment horizontal="center" vertical="center"/>
    </xf>
    <xf numFmtId="1" fontId="3" fillId="12" borderId="12" xfId="1" applyNumberFormat="1" applyFont="1" applyFill="1" applyBorder="1" applyAlignment="1">
      <alignment horizontal="center" vertical="center"/>
    </xf>
    <xf numFmtId="0" fontId="3" fillId="13" borderId="18" xfId="0" applyFont="1" applyFill="1" applyBorder="1" applyAlignment="1">
      <alignment horizontal="center" vertical="center"/>
    </xf>
    <xf numFmtId="0" fontId="3" fillId="13" borderId="11" xfId="0" applyFont="1" applyFill="1" applyBorder="1" applyAlignment="1">
      <alignment horizontal="center" vertical="center"/>
    </xf>
    <xf numFmtId="1" fontId="3" fillId="13" borderId="12" xfId="1" applyNumberFormat="1" applyFont="1" applyFill="1" applyBorder="1" applyAlignment="1">
      <alignment horizontal="center" vertical="center"/>
    </xf>
    <xf numFmtId="0" fontId="5" fillId="0" borderId="18" xfId="0" applyFont="1" applyBorder="1"/>
    <xf numFmtId="0" fontId="5" fillId="0" borderId="11" xfId="0" applyFont="1" applyBorder="1"/>
    <xf numFmtId="0" fontId="5" fillId="0" borderId="12" xfId="0" applyFont="1" applyBorder="1" applyAlignment="1">
      <alignment horizontal="center"/>
    </xf>
    <xf numFmtId="166" fontId="0" fillId="14" borderId="6" xfId="0" applyNumberFormat="1" applyFill="1" applyBorder="1" applyAlignment="1">
      <alignment horizontal="center"/>
    </xf>
    <xf numFmtId="165" fontId="0" fillId="15" borderId="5" xfId="1" applyNumberFormat="1" applyFont="1" applyFill="1" applyBorder="1" applyAlignment="1">
      <alignment horizontal="center" vertical="center"/>
    </xf>
    <xf numFmtId="165" fontId="0" fillId="15" borderId="6" xfId="1" applyNumberFormat="1" applyFont="1" applyFill="1" applyBorder="1" applyAlignment="1">
      <alignment horizontal="center"/>
    </xf>
    <xf numFmtId="0" fontId="0" fillId="16" borderId="5" xfId="0" applyFill="1" applyBorder="1" applyAlignment="1">
      <alignment horizontal="center" vertical="center"/>
    </xf>
    <xf numFmtId="0" fontId="0" fillId="16" borderId="6" xfId="0" applyFill="1" applyBorder="1" applyAlignment="1">
      <alignment horizontal="center" vertical="center"/>
    </xf>
    <xf numFmtId="0" fontId="0" fillId="17" borderId="7" xfId="0" applyFill="1" applyBorder="1" applyAlignment="1">
      <alignment horizontal="center"/>
    </xf>
    <xf numFmtId="0" fontId="0" fillId="17" borderId="5" xfId="0" applyFill="1" applyBorder="1" applyAlignment="1">
      <alignment horizontal="center"/>
    </xf>
    <xf numFmtId="1" fontId="0" fillId="17" borderId="6" xfId="0" applyNumberFormat="1" applyFill="1" applyBorder="1" applyAlignment="1">
      <alignment horizontal="center"/>
    </xf>
    <xf numFmtId="0" fontId="0" fillId="18" borderId="7" xfId="0" applyFill="1" applyBorder="1" applyAlignment="1">
      <alignment horizontal="center"/>
    </xf>
    <xf numFmtId="0" fontId="0" fillId="18" borderId="5" xfId="0" applyFill="1" applyBorder="1" applyAlignment="1">
      <alignment horizontal="center"/>
    </xf>
    <xf numFmtId="1" fontId="0" fillId="18" borderId="6" xfId="0" applyNumberFormat="1" applyFill="1" applyBorder="1" applyAlignment="1">
      <alignment horizontal="center"/>
    </xf>
    <xf numFmtId="0" fontId="0" fillId="14" borderId="19" xfId="0" applyFill="1" applyBorder="1"/>
    <xf numFmtId="0" fontId="0" fillId="14" borderId="20" xfId="0" applyFill="1" applyBorder="1"/>
    <xf numFmtId="0" fontId="2" fillId="14" borderId="13" xfId="0" applyFont="1" applyFill="1" applyBorder="1" applyAlignment="1">
      <alignment horizontal="left"/>
    </xf>
    <xf numFmtId="0" fontId="8" fillId="14" borderId="14" xfId="0" applyFont="1" applyFill="1" applyBorder="1"/>
    <xf numFmtId="166" fontId="0" fillId="14" borderId="20" xfId="0" applyNumberFormat="1" applyFill="1" applyBorder="1" applyAlignment="1">
      <alignment horizontal="center" vertical="center"/>
    </xf>
    <xf numFmtId="0" fontId="0" fillId="15" borderId="13" xfId="0" applyFill="1" applyBorder="1" applyAlignment="1">
      <alignment horizontal="center" vertical="center"/>
    </xf>
    <xf numFmtId="10" fontId="0" fillId="15" borderId="14" xfId="0" applyNumberFormat="1" applyFill="1" applyBorder="1" applyAlignment="1">
      <alignment horizontal="center" vertical="center"/>
    </xf>
    <xf numFmtId="165" fontId="0" fillId="15" borderId="20" xfId="1" applyNumberFormat="1" applyFont="1" applyFill="1" applyBorder="1" applyAlignment="1">
      <alignment horizontal="center"/>
    </xf>
    <xf numFmtId="0" fontId="0" fillId="16" borderId="13" xfId="0" applyFill="1" applyBorder="1" applyAlignment="1">
      <alignment horizontal="center" vertical="center"/>
    </xf>
    <xf numFmtId="0" fontId="0" fillId="16" borderId="14" xfId="0" applyFill="1" applyBorder="1" applyAlignment="1">
      <alignment horizontal="center" vertical="center"/>
    </xf>
    <xf numFmtId="0" fontId="0" fillId="16" borderId="20" xfId="0" applyFill="1" applyBorder="1" applyAlignment="1">
      <alignment horizontal="center" vertical="center"/>
    </xf>
    <xf numFmtId="0" fontId="0" fillId="17" borderId="13" xfId="0" applyFill="1" applyBorder="1" applyAlignment="1">
      <alignment horizontal="center" vertical="center"/>
    </xf>
    <xf numFmtId="0" fontId="0" fillId="17" borderId="14" xfId="0" applyFill="1" applyBorder="1" applyAlignment="1">
      <alignment horizontal="center" vertical="center"/>
    </xf>
    <xf numFmtId="1" fontId="0" fillId="17" borderId="20" xfId="1" applyNumberFormat="1" applyFont="1" applyFill="1" applyBorder="1" applyAlignment="1">
      <alignment horizontal="center" vertical="center"/>
    </xf>
    <xf numFmtId="0" fontId="0" fillId="18" borderId="13" xfId="0" applyFill="1" applyBorder="1" applyAlignment="1">
      <alignment horizontal="center" vertical="center"/>
    </xf>
    <xf numFmtId="165" fontId="0" fillId="18" borderId="14" xfId="1" applyNumberFormat="1" applyFont="1" applyFill="1" applyBorder="1" applyAlignment="1">
      <alignment horizontal="center" vertical="center"/>
    </xf>
    <xf numFmtId="1" fontId="0" fillId="18" borderId="20" xfId="1" applyNumberFormat="1" applyFont="1" applyFill="1" applyBorder="1" applyAlignment="1">
      <alignment horizontal="center" vertical="center"/>
    </xf>
    <xf numFmtId="0" fontId="0" fillId="19" borderId="13" xfId="0" applyFill="1" applyBorder="1"/>
    <xf numFmtId="0" fontId="0" fillId="19" borderId="20" xfId="0" applyFill="1" applyBorder="1" applyAlignment="1">
      <alignment horizontal="center"/>
    </xf>
    <xf numFmtId="0" fontId="0" fillId="20" borderId="0" xfId="0" applyFill="1" applyBorder="1"/>
    <xf numFmtId="0" fontId="0" fillId="20" borderId="0" xfId="0" applyFill="1" applyBorder="1" applyAlignment="1">
      <alignment horizontal="left"/>
    </xf>
    <xf numFmtId="0" fontId="0" fillId="20" borderId="0" xfId="0" applyFill="1" applyBorder="1" applyAlignment="1">
      <alignment horizontal="center"/>
    </xf>
    <xf numFmtId="165" fontId="0" fillId="20" borderId="0" xfId="1" applyNumberFormat="1" applyFont="1" applyFill="1" applyBorder="1" applyAlignment="1">
      <alignment horizontal="right"/>
    </xf>
    <xf numFmtId="1" fontId="0" fillId="20" borderId="0" xfId="0" applyNumberFormat="1" applyFill="1" applyBorder="1" applyAlignment="1">
      <alignment horizontal="center"/>
    </xf>
    <xf numFmtId="0" fontId="0" fillId="20" borderId="0" xfId="0" applyFill="1"/>
    <xf numFmtId="0" fontId="5" fillId="20" borderId="3" xfId="0" applyFont="1" applyFill="1" applyBorder="1"/>
    <xf numFmtId="0" fontId="12" fillId="14" borderId="2" xfId="0" applyFont="1" applyFill="1" applyBorder="1" applyAlignment="1">
      <alignment horizontal="left"/>
    </xf>
    <xf numFmtId="0" fontId="11" fillId="10" borderId="18" xfId="0" applyFont="1" applyFill="1" applyBorder="1" applyAlignment="1">
      <alignment horizontal="center" vertical="center"/>
    </xf>
    <xf numFmtId="0" fontId="12" fillId="0" borderId="0" xfId="0" applyFont="1"/>
    <xf numFmtId="0" fontId="13" fillId="0" borderId="0" xfId="0" applyFont="1" applyAlignment="1">
      <alignment horizontal="center"/>
    </xf>
    <xf numFmtId="3" fontId="12" fillId="0" borderId="0" xfId="0" applyNumberFormat="1" applyFont="1" applyAlignment="1">
      <alignment vertical="center" wrapText="1"/>
    </xf>
    <xf numFmtId="0" fontId="4" fillId="8" borderId="16" xfId="0" applyFont="1" applyFill="1" applyBorder="1" applyAlignment="1">
      <alignment horizontal="center"/>
    </xf>
    <xf numFmtId="0" fontId="4" fillId="8" borderId="17" xfId="0" applyFont="1" applyFill="1" applyBorder="1" applyAlignment="1">
      <alignment horizontal="center"/>
    </xf>
    <xf numFmtId="1" fontId="4" fillId="8" borderId="16" xfId="0" applyNumberFormat="1" applyFont="1" applyFill="1" applyBorder="1" applyAlignment="1">
      <alignment horizontal="center"/>
    </xf>
    <xf numFmtId="0" fontId="3" fillId="3" borderId="16" xfId="0" applyFont="1" applyFill="1" applyBorder="1" applyAlignment="1">
      <alignment horizontal="center"/>
    </xf>
    <xf numFmtId="0" fontId="3" fillId="3" borderId="17" xfId="0" applyFont="1" applyFill="1" applyBorder="1" applyAlignment="1">
      <alignment horizontal="center"/>
    </xf>
    <xf numFmtId="0" fontId="3" fillId="4" borderId="16" xfId="0" applyFont="1" applyFill="1" applyBorder="1" applyAlignment="1">
      <alignment horizontal="center" vertical="center"/>
    </xf>
    <xf numFmtId="0" fontId="3" fillId="4" borderId="17" xfId="0" applyFont="1" applyFill="1" applyBorder="1" applyAlignment="1">
      <alignment horizontal="center" vertical="center"/>
    </xf>
    <xf numFmtId="0" fontId="3" fillId="5" borderId="16" xfId="0" applyFont="1" applyFill="1" applyBorder="1" applyAlignment="1">
      <alignment horizontal="center" vertical="center"/>
    </xf>
    <xf numFmtId="0" fontId="3" fillId="5" borderId="17" xfId="0" applyFont="1" applyFill="1" applyBorder="1" applyAlignment="1">
      <alignment horizontal="center" vertical="center"/>
    </xf>
    <xf numFmtId="0" fontId="3" fillId="6" borderId="16" xfId="0" applyFont="1" applyFill="1" applyBorder="1" applyAlignment="1">
      <alignment horizontal="center" vertical="center"/>
    </xf>
    <xf numFmtId="0" fontId="3" fillId="6" borderId="17" xfId="0" applyFont="1" applyFill="1" applyBorder="1" applyAlignment="1">
      <alignment horizontal="center" vertical="center"/>
    </xf>
    <xf numFmtId="0" fontId="3" fillId="7" borderId="16" xfId="0" applyFont="1" applyFill="1" applyBorder="1" applyAlignment="1">
      <alignment horizontal="center" vertical="center"/>
    </xf>
    <xf numFmtId="0" fontId="3" fillId="7" borderId="17" xfId="0" applyFont="1" applyFill="1" applyBorder="1" applyAlignment="1">
      <alignment horizontal="center" vertical="center"/>
    </xf>
    <xf numFmtId="0" fontId="0" fillId="0" borderId="0" xfId="0" applyAlignment="1">
      <alignment horizontal="center"/>
    </xf>
    <xf numFmtId="3" fontId="0" fillId="0" borderId="0" xfId="0" applyNumberFormat="1" applyAlignment="1">
      <alignment vertical="center" wrapText="1"/>
    </xf>
  </cellXfs>
  <cellStyles count="3">
    <cellStyle name="Komma" xfId="1" builtinId="3"/>
    <cellStyle name="Link" xfId="2" builtinId="8"/>
    <cellStyle name="Standard" xfId="0" builtinId="0"/>
  </cellStyles>
  <dxfs count="34">
    <dxf>
      <fill>
        <patternFill patternType="none"/>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ill>
      <alignment horizontal="center" vertical="bottom"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ill>
      <alignment horizontal="center" vertical="bottom"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ill>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2"/>
        <color theme="1"/>
        <name val="Calibri"/>
        <scheme val="minor"/>
      </font>
      <numFmt numFmtId="1" formatCode="0"/>
      <fill>
        <patternFill patternType="solid">
          <fgColor theme="6" tint="0.79998168889431442"/>
          <bgColor theme="6" tint="0.79998168889431442"/>
        </patternFill>
      </fill>
      <alignment horizontal="center" vertical="center"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2"/>
        <color theme="1"/>
        <name val="Calibri"/>
        <scheme val="minor"/>
      </font>
      <numFmt numFmtId="165" formatCode="_-* #,##0_-;\-* #,##0_-;_-* &quot;-&quot;??_-;_-@_-"/>
      <fill>
        <patternFill patternType="solid">
          <fgColor theme="6" tint="0.79998168889431442"/>
          <bgColor theme="6" tint="0.79998168889431442"/>
        </patternFill>
      </fill>
      <alignment horizontal="center" vertical="center"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6" tint="0.79998168889431442"/>
          <bgColor theme="6" tint="0.79998168889431442"/>
        </patternFill>
      </fill>
      <alignment horizontal="center" vertical="center"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2"/>
        <color theme="1"/>
        <name val="Calibri"/>
        <scheme val="minor"/>
      </font>
      <numFmt numFmtId="1" formatCode="0"/>
      <fill>
        <patternFill patternType="solid">
          <fgColor theme="7" tint="0.79998168889431442"/>
          <bgColor theme="7" tint="0.79998168889431442"/>
        </patternFill>
      </fill>
      <alignment horizontal="center" vertical="bottom"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7" tint="0.79998168889431442"/>
          <bgColor theme="7" tint="0.79998168889431442"/>
        </patternFill>
      </fill>
      <alignment horizontal="center" vertical="bottom"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7" tint="0.79998168889431442"/>
          <bgColor theme="7" tint="0.79998168889431442"/>
        </patternFill>
      </fill>
      <alignment horizontal="center" vertical="center"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2"/>
        <color theme="1"/>
        <name val="Calibri"/>
        <scheme val="minor"/>
      </font>
      <numFmt numFmtId="1" formatCode="0"/>
      <fill>
        <patternFill patternType="solid">
          <fgColor theme="5" tint="0.79998168889431442"/>
          <bgColor theme="5" tint="0.79998168889431442"/>
        </patternFill>
      </fill>
      <alignment horizontal="center" vertical="bottom"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5" tint="0.79998168889431442"/>
          <bgColor theme="5" tint="0.79998168889431442"/>
        </patternFill>
      </fill>
      <alignment horizontal="center" vertical="bottom"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5" tint="0.79998168889431442"/>
          <bgColor theme="5" tint="0.79998168889431442"/>
        </patternFill>
      </fill>
      <alignment horizontal="center" vertical="center"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u val="none"/>
        <vertAlign val="baseline"/>
        <sz val="12"/>
        <color theme="1"/>
        <name val="Calibri"/>
        <scheme val="minor"/>
      </font>
      <numFmt numFmtId="165" formatCode="_-* #,##0_-;\-* #,##0_-;_-* &quot;-&quot;??_-;_-@_-"/>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4" formatCode="0.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6" formatCode="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6" formatCode="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166" formatCode="0.0"/>
      <fill>
        <patternFill patternType="solid">
          <fgColor theme="4" tint="0.79998168889431442"/>
          <bgColor theme="4" tint="0.79998168889431442"/>
        </patternFill>
      </fill>
      <alignment horizontal="center" vertical="bottom"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4" tint="0.79998168889431442"/>
          <bgColor theme="4" tint="0.79998168889431442"/>
        </patternFill>
      </fill>
      <alignment horizontal="left" vertical="bottom" textRotation="0" wrapText="0" relativeIndent="0" shrinkToFit="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4" tint="0.79998168889431442"/>
          <bgColor theme="4" tint="0.7999816888943144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theme="4" tint="0.79998168889431442"/>
          <bgColor theme="4" tint="0.79998168889431442"/>
        </patternFill>
      </fill>
      <border diagonalUp="0" diagonalDown="0">
        <left/>
        <right style="thin">
          <color auto="1"/>
        </right>
        <top style="thin">
          <color auto="1"/>
        </top>
        <bottom style="thin">
          <color auto="1"/>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border>
        <bottom style="medium">
          <color indexed="64"/>
        </bottom>
      </border>
    </dxf>
    <dxf>
      <border diagonalUp="0" diagonalDown="0">
        <left style="thin">
          <color auto="1"/>
        </left>
        <right style="thin">
          <color auto="1"/>
        </right>
        <top/>
        <bottom/>
        <vertical style="thin">
          <color auto="1"/>
        </vertical>
        <horizontal style="thin">
          <color auto="1"/>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plotArea>
      <cx:plotAreaRegion>
        <cx:series layoutId="treemap" uniqueId="{F9AE1FB7-A79B-4818-BC21-0E6068A98315}">
          <cx:dataLabels>
            <cx:visibility seriesName="0" categoryName="1" value="1"/>
            <cx:separator>
</cx:separator>
          </cx:dataLabels>
          <cx:dataId val="0"/>
          <cx:layoutPr>
            <cx:parentLabelLayout val="overlapping"/>
          </cx:layoutPr>
        </cx:series>
      </cx:plotAreaRegion>
    </cx:plotArea>
  </cx:chart>
</cx: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D3-471E-9B69-B3E76CA913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D3-471E-9B69-B3E76CA913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D3-471E-9B69-B3E76CA913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D3-471E-9B69-B3E76CA913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D3-471E-9B69-B3E76CA913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DD3-471E-9B69-B3E76CA9135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DD3-471E-9B69-B3E76CA91356}"/>
              </c:ext>
            </c:extLst>
          </c:dPt>
          <c:dLbls>
            <c:dLbl>
              <c:idx val="5"/>
              <c:layout>
                <c:manualLayout>
                  <c:x val="-0.26724110340908241"/>
                  <c:y val="1.864706566851557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B-2DD3-471E-9B69-B3E76CA91356}"/>
                </c:ext>
              </c:extLst>
            </c:dLbl>
            <c:dLbl>
              <c:idx val="6"/>
              <c:layout>
                <c:manualLayout>
                  <c:x val="0.25865565949555452"/>
                  <c:y val="1.2937951721552047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D-2DD3-471E-9B69-B3E76CA9135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stats!$F$3:$F$9</c:f>
              <c:strCache>
                <c:ptCount val="7"/>
                <c:pt idx="0">
                  <c:v>Cu</c:v>
                </c:pt>
                <c:pt idx="1">
                  <c:v>Au</c:v>
                </c:pt>
                <c:pt idx="2">
                  <c:v>Ag</c:v>
                </c:pt>
                <c:pt idx="3">
                  <c:v>Mo</c:v>
                </c:pt>
                <c:pt idx="4">
                  <c:v>Fe</c:v>
                </c:pt>
                <c:pt idx="5">
                  <c:v>Zn</c:v>
                </c:pt>
                <c:pt idx="6">
                  <c:v>Pb</c:v>
                </c:pt>
              </c:strCache>
            </c:strRef>
          </c:cat>
          <c:val>
            <c:numRef>
              <c:f>stats!$H$3:$H$9</c:f>
              <c:numCache>
                <c:formatCode>#,##0</c:formatCode>
                <c:ptCount val="7"/>
                <c:pt idx="0">
                  <c:v>12956939</c:v>
                </c:pt>
                <c:pt idx="1">
                  <c:v>76.606999999999999</c:v>
                </c:pt>
                <c:pt idx="2">
                  <c:v>2017.3710000000001</c:v>
                </c:pt>
                <c:pt idx="3">
                  <c:v>129711</c:v>
                </c:pt>
                <c:pt idx="4">
                  <c:v>22959001</c:v>
                </c:pt>
                <c:pt idx="5">
                  <c:v>112000</c:v>
                </c:pt>
              </c:numCache>
            </c:numRef>
          </c:val>
          <c:extLst>
            <c:ext xmlns:c16="http://schemas.microsoft.com/office/drawing/2014/chart" uri="{C3380CC4-5D6E-409C-BE32-E72D297353CC}">
              <c16:uniqueId val="{00000000-5CE4-44F6-923F-C63F321947E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delete val="1"/>
          </c:dLbls>
          <c:cat>
            <c:strRef>
              <c:f>stats!$F$3:$F$8</c:f>
              <c:strCache>
                <c:ptCount val="6"/>
                <c:pt idx="0">
                  <c:v>Cu</c:v>
                </c:pt>
                <c:pt idx="1">
                  <c:v>Au</c:v>
                </c:pt>
                <c:pt idx="2">
                  <c:v>Ag</c:v>
                </c:pt>
                <c:pt idx="3">
                  <c:v>Mo</c:v>
                </c:pt>
                <c:pt idx="4">
                  <c:v>Fe</c:v>
                </c:pt>
                <c:pt idx="5">
                  <c:v>Zn</c:v>
                </c:pt>
              </c:strCache>
            </c:strRef>
          </c:cat>
          <c:val>
            <c:numRef>
              <c:f>stats!$H$3:$H$8</c:f>
              <c:numCache>
                <c:formatCode>#,##0</c:formatCode>
                <c:ptCount val="6"/>
                <c:pt idx="0">
                  <c:v>12956939</c:v>
                </c:pt>
                <c:pt idx="1">
                  <c:v>76.606999999999999</c:v>
                </c:pt>
                <c:pt idx="2">
                  <c:v>2017.3710000000001</c:v>
                </c:pt>
                <c:pt idx="3">
                  <c:v>129711</c:v>
                </c:pt>
                <c:pt idx="4">
                  <c:v>22959001</c:v>
                </c:pt>
                <c:pt idx="5">
                  <c:v>112000</c:v>
                </c:pt>
              </c:numCache>
            </c:numRef>
          </c:val>
          <c:extLst>
            <c:ext xmlns:c16="http://schemas.microsoft.com/office/drawing/2014/chart" uri="{C3380CC4-5D6E-409C-BE32-E72D297353CC}">
              <c16:uniqueId val="{00000000-836D-4EB1-8326-B66981464161}"/>
            </c:ext>
          </c:extLst>
        </c:ser>
        <c:dLbls>
          <c:dLblPos val="outEnd"/>
          <c:showLegendKey val="0"/>
          <c:showVal val="1"/>
          <c:showCatName val="0"/>
          <c:showSerName val="0"/>
          <c:showPercent val="0"/>
          <c:showBubbleSize val="0"/>
        </c:dLbls>
        <c:gapWidth val="30"/>
        <c:axId val="376555360"/>
        <c:axId val="376560768"/>
      </c:barChart>
      <c:catAx>
        <c:axId val="376555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Commodity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560768"/>
        <c:crosses val="autoZero"/>
        <c:auto val="1"/>
        <c:lblAlgn val="ctr"/>
        <c:lblOffset val="100"/>
        <c:noMultiLvlLbl val="0"/>
      </c:catAx>
      <c:valAx>
        <c:axId val="376560768"/>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Production</a:t>
                </a:r>
                <a:r>
                  <a:rPr lang="en-US" baseline="0"/>
                  <a:t> in tons</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in"/>
        <c:minorTickMark val="in"/>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555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28575</xdr:colOff>
      <xdr:row>20</xdr:row>
      <xdr:rowOff>152400</xdr:rowOff>
    </xdr:from>
    <xdr:to>
      <xdr:col>10</xdr:col>
      <xdr:colOff>287250</xdr:colOff>
      <xdr:row>36</xdr:row>
      <xdr:rowOff>192000</xdr:rowOff>
    </xdr:to>
    <mc:AlternateContent xmlns:mc="http://schemas.openxmlformats.org/markup-compatibility/2006">
      <mc:Choice xmlns:cx="http://schemas.microsoft.com/office/drawing/2014/chartex" Requires="cx">
        <xdr:graphicFrame macro="">
          <xdr:nvGraphicFramePr>
            <xdr:cNvPr id="3" name="Diagramm 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twoCellAnchor>
    <xdr:from>
      <xdr:col>11</xdr:col>
      <xdr:colOff>9525</xdr:colOff>
      <xdr:row>21</xdr:row>
      <xdr:rowOff>9525</xdr:rowOff>
    </xdr:from>
    <xdr:to>
      <xdr:col>13</xdr:col>
      <xdr:colOff>620625</xdr:colOff>
      <xdr:row>37</xdr:row>
      <xdr:rowOff>49125</xdr:rowOff>
    </xdr:to>
    <xdr:graphicFrame macro="">
      <xdr:nvGraphicFramePr>
        <xdr:cNvPr id="5" name="Diagramm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285750</xdr:colOff>
      <xdr:row>21</xdr:row>
      <xdr:rowOff>142875</xdr:rowOff>
    </xdr:from>
    <xdr:to>
      <xdr:col>14</xdr:col>
      <xdr:colOff>3390900</xdr:colOff>
      <xdr:row>35</xdr:row>
      <xdr:rowOff>85725</xdr:rowOff>
    </xdr:to>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Tabelle1" displayName="Tabelle1" ref="A2:AE152" headerRowDxfId="33" totalsRowDxfId="31" headerRowBorderDxfId="32">
  <sortState ref="A3:AF152">
    <sortCondition ref="A2:A152"/>
  </sortState>
  <tableColumns count="31">
    <tableColumn id="1" name="ID" dataDxfId="30"/>
    <tableColumn id="2" name="ID Name" dataDxfId="29"/>
    <tableColumn id="3" name="Name_Mine" dataDxfId="28"/>
    <tableColumn id="4" name="Status" dataDxfId="27"/>
    <tableColumn id="5" name="Type  [OP/UG]" dataDxfId="26"/>
    <tableColumn id="6" name="Processing Method" dataDxfId="25"/>
    <tableColumn id="7" name="Latitude" dataDxfId="24"/>
    <tableColumn id="8" name="Longitude" dataDxfId="23"/>
    <tableColumn id="9" name="Name_Mining Company" dataDxfId="22"/>
    <tableColumn id="10" name="ROM [Mt/a]" dataDxfId="21"/>
    <tableColumn id="11" name="Metal/Commodity" dataDxfId="20"/>
    <tableColumn id="12" name="Avg. grade" dataDxfId="19"/>
    <tableColumn id="13" name="Production [t/a]" dataDxfId="18"/>
    <tableColumn id="14" name="Metal2" dataDxfId="17"/>
    <tableColumn id="15" name="Avg. Grade2" dataDxfId="16"/>
    <tableColumn id="16" name="Production [t/a]4" dataDxfId="15"/>
    <tableColumn id="17" name="Metal_3" dataDxfId="14"/>
    <tableColumn id="18" name="Avg. Grade3" dataDxfId="13"/>
    <tableColumn id="19" name="Production [kg/a]" dataDxfId="12"/>
    <tableColumn id="20" name="Metal_4" dataDxfId="11"/>
    <tableColumn id="21" name="Avg. Grade_Metal_4" dataDxfId="10"/>
    <tableColumn id="22" name="Production [kg/a]2" dataDxfId="9"/>
    <tableColumn id="23" name="Name_Main Shareholder_1" dataDxfId="8"/>
    <tableColumn id="24" name="Name_Main Shareholder_2" dataDxfId="7"/>
    <tableColumn id="25" name="Name_Main Shareholder_3" dataDxfId="6"/>
    <tableColumn id="26" name="Name_Main Shareholder_4" dataDxfId="5"/>
    <tableColumn id="27" name="Name_Main Shareholder_5" dataDxfId="4"/>
    <tableColumn id="28" name="Source_URL_1" dataDxfId="3"/>
    <tableColumn id="29" name="Source_URL_2" dataDxfId="2"/>
    <tableColumn id="30" name="Source_URL_3" dataDxfId="1"/>
    <tableColumn id="31" name="Source_URL_4"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iningnewsfeed.com/reports/Quebrada_Blanca_Phase_2_Technical_Report_01012019.pdf" TargetMode="External"/><Relationship Id="rId3" Type="http://schemas.openxmlformats.org/officeDocument/2006/relationships/hyperlink" Target="http://www.colegiodegeologos.cl/Noticias23.html" TargetMode="External"/><Relationship Id="rId7" Type="http://schemas.openxmlformats.org/officeDocument/2006/relationships/hyperlink" Target="https://miningdataonline.com/property/166/Punitaqui-Mine.aspx" TargetMode="External"/><Relationship Id="rId2" Type="http://schemas.openxmlformats.org/officeDocument/2006/relationships/hyperlink" Target="https://www.mch.cl/2009/03/20/minera-santa-fe-procesara-desmontes-de-hierro-en-mina-adrianitas-en-copiapo/" TargetMode="External"/><Relationship Id="rId1" Type="http://schemas.openxmlformats.org/officeDocument/2006/relationships/hyperlink" Target="https://maps.mineriaabierta.cl/mapa" TargetMode="External"/><Relationship Id="rId6" Type="http://schemas.openxmlformats.org/officeDocument/2006/relationships/hyperlink" Target="https://www.cap.cl/cap/site/artic/20210401/asocfile/20210401160746/annual_operating_summary_cap_s_a__2020.pdf" TargetMode="External"/><Relationship Id="rId5" Type="http://schemas.openxmlformats.org/officeDocument/2006/relationships/hyperlink" Target="https://www.cap.cl/cap/site/artic/20210401/asocfile/20210401160746/annual_operating_summary_cap_s_a__2020.pdf" TargetMode="External"/><Relationship Id="rId10" Type="http://schemas.openxmlformats.org/officeDocument/2006/relationships/table" Target="../tables/table1.xml"/><Relationship Id="rId4" Type="http://schemas.openxmlformats.org/officeDocument/2006/relationships/hyperlink" Target="https://miningdataonline.com/property/158/El-Abra-Mine.aspx"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54"/>
  <sheetViews>
    <sheetView zoomScale="85" zoomScaleNormal="85" workbookViewId="0">
      <pane xSplit="3" ySplit="2" topLeftCell="J3" activePane="bottomRight" state="frozen"/>
      <selection activeCell="X132" sqref="X132:AA134"/>
      <selection pane="topRight"/>
      <selection pane="bottomLeft"/>
      <selection pane="bottomRight" activeCell="T3" sqref="T3"/>
    </sheetView>
  </sheetViews>
  <sheetFormatPr baseColWidth="10" defaultRowHeight="15.75" outlineLevelCol="1"/>
  <cols>
    <col min="1" max="1" width="11" style="168"/>
    <col min="2" max="2" width="0" style="168" hidden="1" customWidth="1"/>
    <col min="3" max="3" width="29.75" style="168" bestFit="1" customWidth="1"/>
    <col min="4" max="4" width="43.75" style="168" bestFit="1" customWidth="1"/>
    <col min="5" max="5" width="14.125" style="169" bestFit="1" customWidth="1"/>
    <col min="6" max="6" width="37.625" style="168" customWidth="1"/>
    <col min="7" max="7" width="25" style="168" hidden="1" customWidth="1"/>
    <col min="8" max="8" width="13.25" style="168" hidden="1" customWidth="1" outlineLevel="1"/>
    <col min="9" max="9" width="59.625" style="168" hidden="1" customWidth="1" outlineLevel="1"/>
    <col min="10" max="10" width="22" style="170" bestFit="1" customWidth="1" collapsed="1"/>
    <col min="11" max="11" width="19.25" style="170" bestFit="1" customWidth="1"/>
    <col min="12" max="12" width="20.625" style="170" bestFit="1" customWidth="1"/>
    <col min="13" max="13" width="29" style="170" customWidth="1"/>
    <col min="14" max="14" width="21.375" style="170" customWidth="1"/>
    <col min="15" max="15" width="19.375" style="170" bestFit="1" customWidth="1"/>
    <col min="16" max="16" width="13.875" style="170" bestFit="1" customWidth="1"/>
    <col min="17" max="17" width="19.625" style="168" bestFit="1" customWidth="1"/>
    <col min="18" max="18" width="20.625" style="168" bestFit="1" customWidth="1"/>
    <col min="19" max="19" width="15.125" style="170" bestFit="1" customWidth="1"/>
    <col min="20" max="20" width="19.625" style="168" bestFit="1" customWidth="1"/>
    <col min="21" max="21" width="24.625" style="170" bestFit="1" customWidth="1"/>
    <col min="22" max="22" width="15.125" style="170" bestFit="1" customWidth="1"/>
    <col min="23" max="23" width="40.375" style="168" bestFit="1" customWidth="1"/>
    <col min="24" max="24" width="41.5" style="168" bestFit="1" customWidth="1"/>
    <col min="25" max="25" width="34.25" style="168" bestFit="1" customWidth="1"/>
    <col min="26" max="26" width="33.5" style="168" bestFit="1" customWidth="1"/>
    <col min="27" max="27" width="37" style="170" bestFit="1" customWidth="1"/>
    <col min="28" max="28" width="127.875" style="170" bestFit="1" customWidth="1"/>
    <col min="29" max="29" width="143.25" style="171" bestFit="1" customWidth="1"/>
    <col min="30" max="30" width="126.75" style="172" bestFit="1" customWidth="1"/>
    <col min="31" max="31" width="77.875" style="172" bestFit="1" customWidth="1"/>
    <col min="32" max="32" width="11" style="168"/>
    <col min="33" max="33" width="46.625" style="168" customWidth="1"/>
    <col min="34" max="34" width="11.875" style="168" customWidth="1"/>
    <col min="35" max="35" width="36.5" style="168" customWidth="1" outlineLevel="1"/>
    <col min="36" max="37" width="30" style="168" customWidth="1" outlineLevel="1"/>
    <col min="38" max="38" width="22.625" style="168" customWidth="1" outlineLevel="1"/>
    <col min="39" max="39" width="17.875" style="168" customWidth="1" outlineLevel="1"/>
    <col min="40" max="40" width="61.875" style="168" customWidth="1"/>
    <col min="41" max="41" width="129.875" style="168" bestFit="1" customWidth="1"/>
    <col min="42" max="42" width="61.5" style="168" bestFit="1" customWidth="1"/>
    <col min="43" max="43" width="13.25" style="168" customWidth="1"/>
    <col min="44" max="16384" width="11" style="168"/>
  </cols>
  <sheetData>
    <row r="1" spans="1:32" s="173" customFormat="1">
      <c r="A1" s="52" t="s">
        <v>54</v>
      </c>
      <c r="B1" s="53"/>
      <c r="C1" s="55"/>
      <c r="D1" s="183" t="s">
        <v>54</v>
      </c>
      <c r="E1" s="183"/>
      <c r="F1" s="183"/>
      <c r="G1" s="183"/>
      <c r="H1" s="183"/>
      <c r="I1" s="183"/>
      <c r="J1" s="184"/>
      <c r="K1" s="185" t="s">
        <v>55</v>
      </c>
      <c r="L1" s="185"/>
      <c r="M1" s="186"/>
      <c r="N1" s="187" t="s">
        <v>56</v>
      </c>
      <c r="O1" s="187"/>
      <c r="P1" s="188"/>
      <c r="Q1" s="189" t="s">
        <v>57</v>
      </c>
      <c r="R1" s="189"/>
      <c r="S1" s="190"/>
      <c r="T1" s="191" t="s">
        <v>58</v>
      </c>
      <c r="U1" s="191"/>
      <c r="V1" s="192"/>
      <c r="W1" s="180" t="s">
        <v>59</v>
      </c>
      <c r="X1" s="180"/>
      <c r="Y1" s="180"/>
      <c r="Z1" s="180"/>
      <c r="AA1" s="181"/>
      <c r="AB1" s="182" t="s">
        <v>60</v>
      </c>
      <c r="AC1" s="182"/>
      <c r="AD1" s="182"/>
      <c r="AE1" s="182"/>
    </row>
    <row r="2" spans="1:32" s="173" customFormat="1" ht="16.5" thickBot="1">
      <c r="A2" s="118" t="s">
        <v>0</v>
      </c>
      <c r="B2" s="119" t="s">
        <v>61</v>
      </c>
      <c r="C2" s="120" t="s">
        <v>62</v>
      </c>
      <c r="D2" s="121" t="s">
        <v>63</v>
      </c>
      <c r="E2" s="122" t="s">
        <v>64</v>
      </c>
      <c r="F2" s="122" t="s">
        <v>65</v>
      </c>
      <c r="G2" s="122" t="s">
        <v>66</v>
      </c>
      <c r="H2" s="122" t="s">
        <v>67</v>
      </c>
      <c r="I2" s="122" t="s">
        <v>68</v>
      </c>
      <c r="J2" s="123" t="s">
        <v>69</v>
      </c>
      <c r="K2" s="176" t="s">
        <v>619</v>
      </c>
      <c r="L2" s="124" t="s">
        <v>70</v>
      </c>
      <c r="M2" s="125" t="s">
        <v>71</v>
      </c>
      <c r="N2" s="126" t="s">
        <v>72</v>
      </c>
      <c r="O2" s="127" t="s">
        <v>73</v>
      </c>
      <c r="P2" s="128" t="s">
        <v>74</v>
      </c>
      <c r="Q2" s="129" t="s">
        <v>75</v>
      </c>
      <c r="R2" s="130" t="s">
        <v>76</v>
      </c>
      <c r="S2" s="131" t="s">
        <v>77</v>
      </c>
      <c r="T2" s="132" t="s">
        <v>78</v>
      </c>
      <c r="U2" s="133" t="s">
        <v>79</v>
      </c>
      <c r="V2" s="134" t="s">
        <v>80</v>
      </c>
      <c r="W2" s="135" t="s">
        <v>81</v>
      </c>
      <c r="X2" s="136" t="s">
        <v>82</v>
      </c>
      <c r="Y2" s="136" t="s">
        <v>83</v>
      </c>
      <c r="Z2" s="136" t="s">
        <v>84</v>
      </c>
      <c r="AA2" s="137" t="s">
        <v>85</v>
      </c>
      <c r="AB2" s="135" t="s">
        <v>86</v>
      </c>
      <c r="AC2" s="136" t="s">
        <v>87</v>
      </c>
      <c r="AD2" s="136" t="s">
        <v>88</v>
      </c>
      <c r="AE2" s="136" t="s">
        <v>89</v>
      </c>
      <c r="AF2" s="174"/>
    </row>
    <row r="3" spans="1:32" s="173" customFormat="1">
      <c r="A3" s="108">
        <v>817</v>
      </c>
      <c r="B3" s="109" t="s">
        <v>6</v>
      </c>
      <c r="C3" s="110" t="s">
        <v>6</v>
      </c>
      <c r="D3" s="111" t="s">
        <v>445</v>
      </c>
      <c r="E3" s="109" t="s">
        <v>92</v>
      </c>
      <c r="F3" s="109" t="s">
        <v>93</v>
      </c>
      <c r="G3" s="109" t="s">
        <v>446</v>
      </c>
      <c r="H3" s="109" t="s">
        <v>447</v>
      </c>
      <c r="I3" s="109" t="s">
        <v>448</v>
      </c>
      <c r="J3" s="138">
        <v>6</v>
      </c>
      <c r="K3" s="112" t="s">
        <v>7</v>
      </c>
      <c r="L3" s="139" t="s">
        <v>93</v>
      </c>
      <c r="M3" s="140" t="s">
        <v>93</v>
      </c>
      <c r="N3" s="113" t="s">
        <v>16</v>
      </c>
      <c r="O3" s="141" t="s">
        <v>16</v>
      </c>
      <c r="P3" s="142" t="s">
        <v>16</v>
      </c>
      <c r="Q3" s="143" t="s">
        <v>16</v>
      </c>
      <c r="R3" s="144" t="s">
        <v>16</v>
      </c>
      <c r="S3" s="145" t="s">
        <v>16</v>
      </c>
      <c r="T3" s="146" t="s">
        <v>16</v>
      </c>
      <c r="U3" s="147" t="s">
        <v>16</v>
      </c>
      <c r="V3" s="148" t="s">
        <v>16</v>
      </c>
      <c r="W3" s="114" t="s">
        <v>449</v>
      </c>
      <c r="X3" s="115" t="s">
        <v>450</v>
      </c>
      <c r="Y3" s="115" t="s">
        <v>16</v>
      </c>
      <c r="Z3" s="115" t="s">
        <v>16</v>
      </c>
      <c r="AA3" s="116" t="s">
        <v>16</v>
      </c>
      <c r="AB3" s="114" t="s">
        <v>451</v>
      </c>
      <c r="AC3" s="117" t="s">
        <v>452</v>
      </c>
      <c r="AD3" s="117"/>
      <c r="AE3" s="117"/>
    </row>
    <row r="4" spans="1:32" s="173" customFormat="1">
      <c r="A4" s="1">
        <v>820</v>
      </c>
      <c r="B4" s="2" t="s">
        <v>453</v>
      </c>
      <c r="C4" s="3" t="s">
        <v>453</v>
      </c>
      <c r="D4" s="175" t="s">
        <v>615</v>
      </c>
      <c r="E4" s="2" t="s">
        <v>92</v>
      </c>
      <c r="F4" s="2" t="s">
        <v>93</v>
      </c>
      <c r="G4" s="2" t="s">
        <v>454</v>
      </c>
      <c r="H4" s="2" t="s">
        <v>455</v>
      </c>
      <c r="I4" s="2" t="s">
        <v>456</v>
      </c>
      <c r="J4" s="62" t="s">
        <v>93</v>
      </c>
      <c r="K4" s="36" t="s">
        <v>7</v>
      </c>
      <c r="L4" s="43" t="s">
        <v>93</v>
      </c>
      <c r="M4" s="67" t="s">
        <v>93</v>
      </c>
      <c r="N4" s="64" t="s">
        <v>16</v>
      </c>
      <c r="O4" s="6" t="s">
        <v>16</v>
      </c>
      <c r="P4" s="81" t="s">
        <v>16</v>
      </c>
      <c r="Q4" s="73" t="s">
        <v>16</v>
      </c>
      <c r="R4" s="26" t="s">
        <v>16</v>
      </c>
      <c r="S4" s="90" t="s">
        <v>16</v>
      </c>
      <c r="T4" s="84" t="s">
        <v>16</v>
      </c>
      <c r="U4" s="27" t="s">
        <v>16</v>
      </c>
      <c r="V4" s="100" t="s">
        <v>16</v>
      </c>
      <c r="W4" s="94" t="s">
        <v>456</v>
      </c>
      <c r="X4" s="11" t="s">
        <v>16</v>
      </c>
      <c r="Y4" s="11" t="s">
        <v>16</v>
      </c>
      <c r="Z4" s="11" t="s">
        <v>16</v>
      </c>
      <c r="AA4" s="105" t="s">
        <v>16</v>
      </c>
      <c r="AB4" s="94" t="s">
        <v>457</v>
      </c>
      <c r="AC4" s="10" t="s">
        <v>458</v>
      </c>
      <c r="AD4" s="10" t="s">
        <v>459</v>
      </c>
      <c r="AE4" s="10"/>
    </row>
    <row r="5" spans="1:32" s="173" customFormat="1">
      <c r="A5" s="1">
        <v>821</v>
      </c>
      <c r="B5" s="2" t="s">
        <v>453</v>
      </c>
      <c r="C5" s="3" t="s">
        <v>453</v>
      </c>
      <c r="D5" s="175" t="s">
        <v>615</v>
      </c>
      <c r="E5" s="2" t="s">
        <v>92</v>
      </c>
      <c r="F5" s="2" t="s">
        <v>93</v>
      </c>
      <c r="G5" s="2" t="s">
        <v>454</v>
      </c>
      <c r="H5" s="2" t="s">
        <v>455</v>
      </c>
      <c r="I5" s="2" t="s">
        <v>456</v>
      </c>
      <c r="J5" s="62" t="s">
        <v>93</v>
      </c>
      <c r="K5" s="36" t="s">
        <v>7</v>
      </c>
      <c r="L5" s="43" t="s">
        <v>93</v>
      </c>
      <c r="M5" s="67" t="s">
        <v>93</v>
      </c>
      <c r="N5" s="64" t="s">
        <v>16</v>
      </c>
      <c r="O5" s="6" t="s">
        <v>16</v>
      </c>
      <c r="P5" s="81" t="s">
        <v>16</v>
      </c>
      <c r="Q5" s="73" t="s">
        <v>16</v>
      </c>
      <c r="R5" s="26" t="s">
        <v>16</v>
      </c>
      <c r="S5" s="90" t="s">
        <v>16</v>
      </c>
      <c r="T5" s="84" t="s">
        <v>16</v>
      </c>
      <c r="U5" s="27" t="s">
        <v>16</v>
      </c>
      <c r="V5" s="100" t="s">
        <v>16</v>
      </c>
      <c r="W5" s="94" t="s">
        <v>456</v>
      </c>
      <c r="X5" s="11" t="s">
        <v>16</v>
      </c>
      <c r="Y5" s="11" t="s">
        <v>16</v>
      </c>
      <c r="Z5" s="11" t="s">
        <v>16</v>
      </c>
      <c r="AA5" s="105" t="s">
        <v>16</v>
      </c>
      <c r="AB5" s="94" t="s">
        <v>457</v>
      </c>
      <c r="AC5" s="10" t="s">
        <v>458</v>
      </c>
      <c r="AD5" s="10" t="s">
        <v>459</v>
      </c>
      <c r="AE5" s="10"/>
    </row>
    <row r="6" spans="1:32" s="173" customFormat="1">
      <c r="A6" s="1">
        <v>1418</v>
      </c>
      <c r="B6" s="2" t="s">
        <v>8</v>
      </c>
      <c r="C6" s="3" t="s">
        <v>8</v>
      </c>
      <c r="D6" s="4" t="s">
        <v>99</v>
      </c>
      <c r="E6" s="2" t="s">
        <v>193</v>
      </c>
      <c r="F6" s="2" t="s">
        <v>194</v>
      </c>
      <c r="G6" s="2" t="s">
        <v>195</v>
      </c>
      <c r="H6" s="2" t="s">
        <v>196</v>
      </c>
      <c r="I6" s="2" t="s">
        <v>197</v>
      </c>
      <c r="J6" s="63">
        <v>0.156</v>
      </c>
      <c r="K6" s="36" t="s">
        <v>93</v>
      </c>
      <c r="L6" s="5" t="s">
        <v>93</v>
      </c>
      <c r="M6" s="66" t="s">
        <v>93</v>
      </c>
      <c r="N6" s="64" t="s">
        <v>16</v>
      </c>
      <c r="O6" s="7" t="s">
        <v>16</v>
      </c>
      <c r="P6" s="75" t="s">
        <v>16</v>
      </c>
      <c r="Q6" s="73" t="s">
        <v>11</v>
      </c>
      <c r="R6" s="26" t="s">
        <v>93</v>
      </c>
      <c r="S6" s="90" t="s">
        <v>93</v>
      </c>
      <c r="T6" s="84" t="s">
        <v>108</v>
      </c>
      <c r="U6" s="27" t="s">
        <v>93</v>
      </c>
      <c r="V6" s="100" t="s">
        <v>198</v>
      </c>
      <c r="W6" s="94" t="s">
        <v>199</v>
      </c>
      <c r="X6" s="10" t="s">
        <v>200</v>
      </c>
      <c r="Y6" s="11" t="s">
        <v>16</v>
      </c>
      <c r="Z6" s="11" t="s">
        <v>16</v>
      </c>
      <c r="AA6" s="105" t="s">
        <v>16</v>
      </c>
      <c r="AB6" s="94" t="s">
        <v>201</v>
      </c>
      <c r="AC6" s="10"/>
      <c r="AD6" s="10"/>
      <c r="AE6" s="10"/>
    </row>
    <row r="7" spans="1:32" s="173" customFormat="1">
      <c r="A7" s="1">
        <v>1522</v>
      </c>
      <c r="B7" s="2" t="s">
        <v>9</v>
      </c>
      <c r="C7" s="3" t="s">
        <v>9</v>
      </c>
      <c r="D7" s="4" t="s">
        <v>301</v>
      </c>
      <c r="E7" s="2" t="s">
        <v>193</v>
      </c>
      <c r="F7" s="2" t="s">
        <v>302</v>
      </c>
      <c r="G7" s="2" t="s">
        <v>303</v>
      </c>
      <c r="H7" s="2" t="s">
        <v>304</v>
      </c>
      <c r="I7" s="2" t="s">
        <v>305</v>
      </c>
      <c r="J7" s="63">
        <v>0.52</v>
      </c>
      <c r="K7" s="36" t="s">
        <v>306</v>
      </c>
      <c r="L7" s="28">
        <v>6.0299999999999999E-2</v>
      </c>
      <c r="M7" s="67" t="s">
        <v>307</v>
      </c>
      <c r="N7" s="37" t="s">
        <v>308</v>
      </c>
      <c r="O7" s="30">
        <v>2.3E-3</v>
      </c>
      <c r="P7" s="76" t="s">
        <v>93</v>
      </c>
      <c r="Q7" s="73" t="s">
        <v>11</v>
      </c>
      <c r="R7" s="26" t="s">
        <v>309</v>
      </c>
      <c r="S7" s="87" t="s">
        <v>93</v>
      </c>
      <c r="T7" s="84" t="s">
        <v>108</v>
      </c>
      <c r="U7" s="27" t="s">
        <v>310</v>
      </c>
      <c r="V7" s="97" t="s">
        <v>93</v>
      </c>
      <c r="W7" s="94" t="s">
        <v>93</v>
      </c>
      <c r="X7" s="11" t="s">
        <v>16</v>
      </c>
      <c r="Y7" s="11" t="s">
        <v>16</v>
      </c>
      <c r="Z7" s="11" t="s">
        <v>16</v>
      </c>
      <c r="AA7" s="105" t="s">
        <v>16</v>
      </c>
      <c r="AB7" s="94" t="s">
        <v>311</v>
      </c>
      <c r="AC7" s="10"/>
      <c r="AD7" s="10"/>
      <c r="AE7" s="10"/>
    </row>
    <row r="8" spans="1:32" s="173" customFormat="1">
      <c r="A8" s="1">
        <v>1523</v>
      </c>
      <c r="B8" s="2" t="s">
        <v>9</v>
      </c>
      <c r="C8" s="3" t="s">
        <v>9</v>
      </c>
      <c r="D8" s="4" t="s">
        <v>301</v>
      </c>
      <c r="E8" s="2" t="s">
        <v>193</v>
      </c>
      <c r="F8" s="2" t="s">
        <v>302</v>
      </c>
      <c r="G8" s="2" t="s">
        <v>303</v>
      </c>
      <c r="H8" s="2" t="s">
        <v>304</v>
      </c>
      <c r="I8" s="2" t="s">
        <v>305</v>
      </c>
      <c r="J8" s="63">
        <v>0.52</v>
      </c>
      <c r="K8" s="36" t="s">
        <v>306</v>
      </c>
      <c r="L8" s="28">
        <v>6.0299999999999999E-2</v>
      </c>
      <c r="M8" s="67" t="s">
        <v>312</v>
      </c>
      <c r="N8" s="37" t="s">
        <v>308</v>
      </c>
      <c r="O8" s="30">
        <v>2.3E-3</v>
      </c>
      <c r="P8" s="76" t="s">
        <v>93</v>
      </c>
      <c r="Q8" s="73" t="s">
        <v>11</v>
      </c>
      <c r="R8" s="26" t="s">
        <v>309</v>
      </c>
      <c r="S8" s="87" t="s">
        <v>93</v>
      </c>
      <c r="T8" s="84" t="s">
        <v>108</v>
      </c>
      <c r="U8" s="27" t="s">
        <v>310</v>
      </c>
      <c r="V8" s="97" t="s">
        <v>93</v>
      </c>
      <c r="W8" s="94" t="s">
        <v>93</v>
      </c>
      <c r="X8" s="11" t="s">
        <v>16</v>
      </c>
      <c r="Y8" s="11" t="s">
        <v>16</v>
      </c>
      <c r="Z8" s="11" t="s">
        <v>16</v>
      </c>
      <c r="AA8" s="105" t="s">
        <v>16</v>
      </c>
      <c r="AB8" s="94" t="s">
        <v>311</v>
      </c>
      <c r="AC8" s="10"/>
      <c r="AD8" s="10"/>
      <c r="AE8" s="10"/>
    </row>
    <row r="9" spans="1:32" s="173" customFormat="1">
      <c r="A9" s="1">
        <v>1541</v>
      </c>
      <c r="B9" s="2" t="s">
        <v>9</v>
      </c>
      <c r="C9" s="3" t="s">
        <v>9</v>
      </c>
      <c r="D9" s="4" t="s">
        <v>301</v>
      </c>
      <c r="E9" s="2" t="s">
        <v>193</v>
      </c>
      <c r="F9" s="2" t="s">
        <v>302</v>
      </c>
      <c r="G9" s="2" t="s">
        <v>303</v>
      </c>
      <c r="H9" s="2" t="s">
        <v>304</v>
      </c>
      <c r="I9" s="2" t="s">
        <v>305</v>
      </c>
      <c r="J9" s="63">
        <v>0.52</v>
      </c>
      <c r="K9" s="36" t="s">
        <v>306</v>
      </c>
      <c r="L9" s="28">
        <v>6.0299999999999999E-2</v>
      </c>
      <c r="M9" s="67" t="s">
        <v>313</v>
      </c>
      <c r="N9" s="37" t="s">
        <v>308</v>
      </c>
      <c r="O9" s="30">
        <v>2.3E-3</v>
      </c>
      <c r="P9" s="76" t="s">
        <v>93</v>
      </c>
      <c r="Q9" s="73" t="s">
        <v>11</v>
      </c>
      <c r="R9" s="26" t="s">
        <v>309</v>
      </c>
      <c r="S9" s="87" t="s">
        <v>93</v>
      </c>
      <c r="T9" s="84" t="s">
        <v>108</v>
      </c>
      <c r="U9" s="27" t="s">
        <v>310</v>
      </c>
      <c r="V9" s="97" t="s">
        <v>93</v>
      </c>
      <c r="W9" s="94" t="s">
        <v>93</v>
      </c>
      <c r="X9" s="11" t="s">
        <v>16</v>
      </c>
      <c r="Y9" s="11" t="s">
        <v>16</v>
      </c>
      <c r="Z9" s="11" t="s">
        <v>16</v>
      </c>
      <c r="AA9" s="105" t="s">
        <v>16</v>
      </c>
      <c r="AB9" s="94" t="s">
        <v>311</v>
      </c>
      <c r="AC9" s="10"/>
      <c r="AD9" s="10"/>
      <c r="AE9" s="10"/>
    </row>
    <row r="10" spans="1:32" s="173" customFormat="1">
      <c r="A10" s="1">
        <v>1544</v>
      </c>
      <c r="B10" s="2" t="s">
        <v>9</v>
      </c>
      <c r="C10" s="3" t="s">
        <v>9</v>
      </c>
      <c r="D10" s="4" t="s">
        <v>301</v>
      </c>
      <c r="E10" s="2" t="s">
        <v>193</v>
      </c>
      <c r="F10" s="2" t="s">
        <v>302</v>
      </c>
      <c r="G10" s="2" t="s">
        <v>303</v>
      </c>
      <c r="H10" s="2" t="s">
        <v>304</v>
      </c>
      <c r="I10" s="2" t="s">
        <v>305</v>
      </c>
      <c r="J10" s="63">
        <v>0.52</v>
      </c>
      <c r="K10" s="36" t="s">
        <v>306</v>
      </c>
      <c r="L10" s="28">
        <v>6.0299999999999999E-2</v>
      </c>
      <c r="M10" s="67" t="s">
        <v>314</v>
      </c>
      <c r="N10" s="37" t="s">
        <v>308</v>
      </c>
      <c r="O10" s="30">
        <v>2.3E-3</v>
      </c>
      <c r="P10" s="76" t="s">
        <v>93</v>
      </c>
      <c r="Q10" s="73" t="s">
        <v>11</v>
      </c>
      <c r="R10" s="26" t="s">
        <v>309</v>
      </c>
      <c r="S10" s="87" t="s">
        <v>93</v>
      </c>
      <c r="T10" s="84" t="s">
        <v>108</v>
      </c>
      <c r="U10" s="27" t="s">
        <v>310</v>
      </c>
      <c r="V10" s="97" t="s">
        <v>93</v>
      </c>
      <c r="W10" s="94" t="s">
        <v>93</v>
      </c>
      <c r="X10" s="11" t="s">
        <v>16</v>
      </c>
      <c r="Y10" s="11" t="s">
        <v>16</v>
      </c>
      <c r="Z10" s="11" t="s">
        <v>16</v>
      </c>
      <c r="AA10" s="105" t="s">
        <v>16</v>
      </c>
      <c r="AB10" s="94" t="s">
        <v>311</v>
      </c>
      <c r="AC10" s="10"/>
      <c r="AD10" s="10"/>
      <c r="AE10" s="10"/>
    </row>
    <row r="11" spans="1:32" s="173" customFormat="1">
      <c r="A11" s="1">
        <v>1851</v>
      </c>
      <c r="B11" s="2" t="s">
        <v>10</v>
      </c>
      <c r="C11" s="3" t="s">
        <v>10</v>
      </c>
      <c r="D11" s="175" t="s">
        <v>614</v>
      </c>
      <c r="E11" s="2" t="s">
        <v>193</v>
      </c>
      <c r="F11" s="2" t="s">
        <v>217</v>
      </c>
      <c r="G11" s="2" t="s">
        <v>218</v>
      </c>
      <c r="H11" s="2" t="s">
        <v>219</v>
      </c>
      <c r="I11" s="2" t="s">
        <v>220</v>
      </c>
      <c r="J11" s="59" t="s">
        <v>93</v>
      </c>
      <c r="K11" s="36" t="s">
        <v>11</v>
      </c>
      <c r="L11" s="5" t="s">
        <v>93</v>
      </c>
      <c r="M11" s="66" t="s">
        <v>93</v>
      </c>
      <c r="N11" s="37" t="s">
        <v>13</v>
      </c>
      <c r="O11" s="47" t="s">
        <v>93</v>
      </c>
      <c r="P11" s="79" t="s">
        <v>93</v>
      </c>
      <c r="Q11" s="73" t="s">
        <v>16</v>
      </c>
      <c r="R11" s="26" t="s">
        <v>16</v>
      </c>
      <c r="S11" s="90" t="s">
        <v>16</v>
      </c>
      <c r="T11" s="84" t="s">
        <v>16</v>
      </c>
      <c r="U11" s="27" t="s">
        <v>16</v>
      </c>
      <c r="V11" s="100" t="s">
        <v>16</v>
      </c>
      <c r="W11" s="94" t="s">
        <v>221</v>
      </c>
      <c r="X11" s="11" t="s">
        <v>16</v>
      </c>
      <c r="Y11" s="11" t="s">
        <v>16</v>
      </c>
      <c r="Z11" s="11" t="s">
        <v>16</v>
      </c>
      <c r="AA11" s="105" t="s">
        <v>16</v>
      </c>
      <c r="AB11" s="94" t="s">
        <v>222</v>
      </c>
      <c r="AC11" s="10" t="s">
        <v>223</v>
      </c>
      <c r="AD11" s="10"/>
      <c r="AE11" s="10"/>
    </row>
    <row r="12" spans="1:32" s="173" customFormat="1">
      <c r="A12" s="1">
        <v>1910</v>
      </c>
      <c r="B12" s="2" t="s">
        <v>12</v>
      </c>
      <c r="C12" s="3" t="s">
        <v>18</v>
      </c>
      <c r="D12" s="4" t="s">
        <v>99</v>
      </c>
      <c r="E12" s="2" t="s">
        <v>193</v>
      </c>
      <c r="F12" s="2" t="s">
        <v>194</v>
      </c>
      <c r="G12" s="2" t="s">
        <v>297</v>
      </c>
      <c r="H12" s="2" t="s">
        <v>298</v>
      </c>
      <c r="I12" s="2" t="s">
        <v>104</v>
      </c>
      <c r="J12" s="63">
        <v>52</v>
      </c>
      <c r="K12" s="56" t="s">
        <v>13</v>
      </c>
      <c r="L12" s="28">
        <v>8.3999999999999995E-3</v>
      </c>
      <c r="M12" s="67" t="s">
        <v>299</v>
      </c>
      <c r="N12" s="64" t="s">
        <v>106</v>
      </c>
      <c r="O12" s="7" t="s">
        <v>93</v>
      </c>
      <c r="P12" s="80" t="s">
        <v>93</v>
      </c>
      <c r="Q12" s="71" t="s">
        <v>11</v>
      </c>
      <c r="R12" s="45" t="s">
        <v>93</v>
      </c>
      <c r="S12" s="87" t="s">
        <v>93</v>
      </c>
      <c r="T12" s="82" t="s">
        <v>108</v>
      </c>
      <c r="U12" s="27" t="s">
        <v>16</v>
      </c>
      <c r="V12" s="100" t="s">
        <v>16</v>
      </c>
      <c r="W12" s="94" t="s">
        <v>110</v>
      </c>
      <c r="X12" s="11" t="s">
        <v>16</v>
      </c>
      <c r="Y12" s="11" t="s">
        <v>16</v>
      </c>
      <c r="Z12" s="11" t="s">
        <v>16</v>
      </c>
      <c r="AA12" s="105" t="s">
        <v>16</v>
      </c>
      <c r="AB12" s="94" t="s">
        <v>300</v>
      </c>
      <c r="AC12" s="10"/>
      <c r="AD12" s="10"/>
      <c r="AE12" s="10"/>
    </row>
    <row r="13" spans="1:32" s="173" customFormat="1">
      <c r="A13" s="1">
        <v>1911</v>
      </c>
      <c r="B13" s="2" t="s">
        <v>12</v>
      </c>
      <c r="C13" s="3" t="s">
        <v>18</v>
      </c>
      <c r="D13" s="4" t="s">
        <v>99</v>
      </c>
      <c r="E13" s="2" t="s">
        <v>193</v>
      </c>
      <c r="F13" s="2" t="s">
        <v>194</v>
      </c>
      <c r="G13" s="2" t="s">
        <v>297</v>
      </c>
      <c r="H13" s="2" t="s">
        <v>298</v>
      </c>
      <c r="I13" s="2" t="s">
        <v>104</v>
      </c>
      <c r="J13" s="63">
        <v>52</v>
      </c>
      <c r="K13" s="56" t="s">
        <v>13</v>
      </c>
      <c r="L13" s="28">
        <v>8.3999999999999995E-3</v>
      </c>
      <c r="M13" s="67" t="s">
        <v>299</v>
      </c>
      <c r="N13" s="64" t="s">
        <v>106</v>
      </c>
      <c r="O13" s="7" t="s">
        <v>93</v>
      </c>
      <c r="P13" s="80" t="s">
        <v>93</v>
      </c>
      <c r="Q13" s="71" t="s">
        <v>11</v>
      </c>
      <c r="R13" s="45" t="s">
        <v>93</v>
      </c>
      <c r="S13" s="87" t="s">
        <v>93</v>
      </c>
      <c r="T13" s="82" t="s">
        <v>108</v>
      </c>
      <c r="U13" s="27" t="s">
        <v>16</v>
      </c>
      <c r="V13" s="100" t="s">
        <v>16</v>
      </c>
      <c r="W13" s="94" t="s">
        <v>110</v>
      </c>
      <c r="X13" s="11" t="s">
        <v>16</v>
      </c>
      <c r="Y13" s="11" t="s">
        <v>16</v>
      </c>
      <c r="Z13" s="11" t="s">
        <v>16</v>
      </c>
      <c r="AA13" s="105" t="s">
        <v>16</v>
      </c>
      <c r="AB13" s="94" t="s">
        <v>300</v>
      </c>
      <c r="AC13" s="10"/>
      <c r="AD13" s="10"/>
      <c r="AE13" s="10"/>
    </row>
    <row r="14" spans="1:32" s="173" customFormat="1">
      <c r="A14" s="1">
        <v>1912</v>
      </c>
      <c r="B14" s="2" t="s">
        <v>12</v>
      </c>
      <c r="C14" s="3" t="s">
        <v>18</v>
      </c>
      <c r="D14" s="4" t="s">
        <v>99</v>
      </c>
      <c r="E14" s="2" t="s">
        <v>193</v>
      </c>
      <c r="F14" s="2" t="s">
        <v>194</v>
      </c>
      <c r="G14" s="2" t="s">
        <v>297</v>
      </c>
      <c r="H14" s="2" t="s">
        <v>298</v>
      </c>
      <c r="I14" s="2" t="s">
        <v>104</v>
      </c>
      <c r="J14" s="63">
        <v>52</v>
      </c>
      <c r="K14" s="56" t="s">
        <v>13</v>
      </c>
      <c r="L14" s="28">
        <v>8.3999999999999995E-3</v>
      </c>
      <c r="M14" s="67" t="s">
        <v>299</v>
      </c>
      <c r="N14" s="64" t="s">
        <v>106</v>
      </c>
      <c r="O14" s="7" t="s">
        <v>93</v>
      </c>
      <c r="P14" s="80" t="s">
        <v>93</v>
      </c>
      <c r="Q14" s="71" t="s">
        <v>11</v>
      </c>
      <c r="R14" s="45" t="s">
        <v>93</v>
      </c>
      <c r="S14" s="87" t="s">
        <v>93</v>
      </c>
      <c r="T14" s="82" t="s">
        <v>108</v>
      </c>
      <c r="U14" s="27" t="s">
        <v>16</v>
      </c>
      <c r="V14" s="100" t="s">
        <v>16</v>
      </c>
      <c r="W14" s="94" t="s">
        <v>110</v>
      </c>
      <c r="X14" s="11" t="s">
        <v>16</v>
      </c>
      <c r="Y14" s="11" t="s">
        <v>16</v>
      </c>
      <c r="Z14" s="11" t="s">
        <v>16</v>
      </c>
      <c r="AA14" s="105" t="s">
        <v>16</v>
      </c>
      <c r="AB14" s="94" t="s">
        <v>300</v>
      </c>
      <c r="AC14" s="10"/>
      <c r="AD14" s="10"/>
      <c r="AE14" s="10"/>
    </row>
    <row r="15" spans="1:32" s="173" customFormat="1">
      <c r="A15" s="1">
        <v>1917</v>
      </c>
      <c r="B15" s="2" t="s">
        <v>14</v>
      </c>
      <c r="C15" s="3" t="s">
        <v>14</v>
      </c>
      <c r="D15" s="4" t="s">
        <v>99</v>
      </c>
      <c r="E15" s="2" t="s">
        <v>193</v>
      </c>
      <c r="F15" s="2" t="s">
        <v>93</v>
      </c>
      <c r="G15" s="2" t="s">
        <v>438</v>
      </c>
      <c r="H15" s="2" t="s">
        <v>439</v>
      </c>
      <c r="I15" s="2" t="s">
        <v>440</v>
      </c>
      <c r="J15" s="63">
        <v>0.26</v>
      </c>
      <c r="K15" s="58" t="s">
        <v>93</v>
      </c>
      <c r="L15" s="43" t="s">
        <v>93</v>
      </c>
      <c r="M15" s="70" t="s">
        <v>93</v>
      </c>
      <c r="N15" s="64" t="s">
        <v>16</v>
      </c>
      <c r="O15" s="6" t="s">
        <v>16</v>
      </c>
      <c r="P15" s="81" t="s">
        <v>16</v>
      </c>
      <c r="Q15" s="71" t="s">
        <v>11</v>
      </c>
      <c r="R15" s="26" t="s">
        <v>93</v>
      </c>
      <c r="S15" s="90" t="s">
        <v>441</v>
      </c>
      <c r="T15" s="82" t="s">
        <v>16</v>
      </c>
      <c r="U15" s="27" t="s">
        <v>16</v>
      </c>
      <c r="V15" s="97" t="s">
        <v>16</v>
      </c>
      <c r="W15" s="94" t="s">
        <v>285</v>
      </c>
      <c r="X15" s="11" t="s">
        <v>16</v>
      </c>
      <c r="Y15" s="11" t="s">
        <v>16</v>
      </c>
      <c r="Z15" s="11" t="s">
        <v>16</v>
      </c>
      <c r="AA15" s="105" t="s">
        <v>16</v>
      </c>
      <c r="AB15" s="94" t="s">
        <v>442</v>
      </c>
      <c r="AC15" s="10" t="s">
        <v>443</v>
      </c>
      <c r="AD15" s="10"/>
      <c r="AE15" s="10"/>
    </row>
    <row r="16" spans="1:32" s="173" customFormat="1">
      <c r="A16" s="1">
        <v>1918</v>
      </c>
      <c r="B16" s="2" t="s">
        <v>14</v>
      </c>
      <c r="C16" s="3" t="s">
        <v>14</v>
      </c>
      <c r="D16" s="4" t="s">
        <v>99</v>
      </c>
      <c r="E16" s="2" t="s">
        <v>193</v>
      </c>
      <c r="F16" s="2" t="s">
        <v>93</v>
      </c>
      <c r="G16" s="2" t="s">
        <v>438</v>
      </c>
      <c r="H16" s="2" t="s">
        <v>439</v>
      </c>
      <c r="I16" s="2" t="s">
        <v>440</v>
      </c>
      <c r="J16" s="63">
        <v>1.26</v>
      </c>
      <c r="K16" s="58" t="s">
        <v>93</v>
      </c>
      <c r="L16" s="43" t="s">
        <v>93</v>
      </c>
      <c r="M16" s="70" t="s">
        <v>93</v>
      </c>
      <c r="N16" s="64" t="s">
        <v>16</v>
      </c>
      <c r="O16" s="6" t="s">
        <v>16</v>
      </c>
      <c r="P16" s="81" t="s">
        <v>16</v>
      </c>
      <c r="Q16" s="71" t="s">
        <v>11</v>
      </c>
      <c r="R16" s="26" t="s">
        <v>93</v>
      </c>
      <c r="S16" s="90" t="s">
        <v>444</v>
      </c>
      <c r="T16" s="82" t="s">
        <v>16</v>
      </c>
      <c r="U16" s="27" t="s">
        <v>16</v>
      </c>
      <c r="V16" s="97" t="s">
        <v>16</v>
      </c>
      <c r="W16" s="94" t="s">
        <v>285</v>
      </c>
      <c r="X16" s="11" t="s">
        <v>16</v>
      </c>
      <c r="Y16" s="11" t="s">
        <v>16</v>
      </c>
      <c r="Z16" s="11" t="s">
        <v>16</v>
      </c>
      <c r="AA16" s="105" t="s">
        <v>16</v>
      </c>
      <c r="AB16" s="94" t="s">
        <v>442</v>
      </c>
      <c r="AC16" s="10" t="s">
        <v>443</v>
      </c>
      <c r="AD16" s="10"/>
      <c r="AE16" s="10"/>
    </row>
    <row r="17" spans="1:31" s="173" customFormat="1">
      <c r="A17" s="1">
        <v>1922</v>
      </c>
      <c r="B17" s="2" t="s">
        <v>15</v>
      </c>
      <c r="C17" s="3" t="s">
        <v>18</v>
      </c>
      <c r="D17" s="4" t="s">
        <v>99</v>
      </c>
      <c r="E17" s="2" t="s">
        <v>193</v>
      </c>
      <c r="F17" s="2" t="s">
        <v>194</v>
      </c>
      <c r="G17" s="2" t="s">
        <v>297</v>
      </c>
      <c r="H17" s="2" t="s">
        <v>298</v>
      </c>
      <c r="I17" s="2" t="s">
        <v>104</v>
      </c>
      <c r="J17" s="63">
        <v>52</v>
      </c>
      <c r="K17" s="56" t="s">
        <v>13</v>
      </c>
      <c r="L17" s="28">
        <v>8.3999999999999995E-3</v>
      </c>
      <c r="M17" s="67" t="s">
        <v>299</v>
      </c>
      <c r="N17" s="64" t="s">
        <v>106</v>
      </c>
      <c r="O17" s="7" t="s">
        <v>93</v>
      </c>
      <c r="P17" s="80" t="s">
        <v>93</v>
      </c>
      <c r="Q17" s="71" t="s">
        <v>11</v>
      </c>
      <c r="R17" s="45" t="s">
        <v>93</v>
      </c>
      <c r="S17" s="87" t="s">
        <v>93</v>
      </c>
      <c r="T17" s="82" t="s">
        <v>108</v>
      </c>
      <c r="U17" s="27" t="s">
        <v>16</v>
      </c>
      <c r="V17" s="100" t="s">
        <v>16</v>
      </c>
      <c r="W17" s="94" t="s">
        <v>110</v>
      </c>
      <c r="X17" s="11" t="s">
        <v>16</v>
      </c>
      <c r="Y17" s="11" t="s">
        <v>16</v>
      </c>
      <c r="Z17" s="11" t="s">
        <v>16</v>
      </c>
      <c r="AA17" s="105" t="s">
        <v>16</v>
      </c>
      <c r="AB17" s="94" t="s">
        <v>300</v>
      </c>
      <c r="AC17" s="10"/>
      <c r="AD17" s="10"/>
      <c r="AE17" s="10"/>
    </row>
    <row r="18" spans="1:31" s="173" customFormat="1">
      <c r="A18" s="1">
        <v>1923</v>
      </c>
      <c r="B18" s="2" t="s">
        <v>17</v>
      </c>
      <c r="C18" s="3" t="s">
        <v>18</v>
      </c>
      <c r="D18" s="4" t="s">
        <v>99</v>
      </c>
      <c r="E18" s="2" t="s">
        <v>193</v>
      </c>
      <c r="F18" s="2" t="s">
        <v>194</v>
      </c>
      <c r="G18" s="2" t="s">
        <v>297</v>
      </c>
      <c r="H18" s="2" t="s">
        <v>298</v>
      </c>
      <c r="I18" s="2" t="s">
        <v>104</v>
      </c>
      <c r="J18" s="63">
        <v>52</v>
      </c>
      <c r="K18" s="56" t="s">
        <v>13</v>
      </c>
      <c r="L18" s="28">
        <v>8.3999999999999995E-3</v>
      </c>
      <c r="M18" s="67" t="s">
        <v>299</v>
      </c>
      <c r="N18" s="64" t="s">
        <v>106</v>
      </c>
      <c r="O18" s="7" t="s">
        <v>93</v>
      </c>
      <c r="P18" s="80" t="s">
        <v>93</v>
      </c>
      <c r="Q18" s="71" t="s">
        <v>11</v>
      </c>
      <c r="R18" s="26" t="s">
        <v>93</v>
      </c>
      <c r="S18" s="92" t="s">
        <v>93</v>
      </c>
      <c r="T18" s="82" t="s">
        <v>108</v>
      </c>
      <c r="U18" s="49" t="s">
        <v>93</v>
      </c>
      <c r="V18" s="101" t="s">
        <v>93</v>
      </c>
      <c r="W18" s="94" t="s">
        <v>110</v>
      </c>
      <c r="X18" s="11" t="s">
        <v>16</v>
      </c>
      <c r="Y18" s="11" t="s">
        <v>16</v>
      </c>
      <c r="Z18" s="11" t="s">
        <v>16</v>
      </c>
      <c r="AA18" s="105" t="s">
        <v>16</v>
      </c>
      <c r="AB18" s="94" t="s">
        <v>300</v>
      </c>
      <c r="AC18" s="10"/>
      <c r="AD18" s="10"/>
      <c r="AE18" s="10"/>
    </row>
    <row r="19" spans="1:31" s="173" customFormat="1">
      <c r="A19" s="1">
        <v>1925</v>
      </c>
      <c r="B19" s="2" t="s">
        <v>12</v>
      </c>
      <c r="C19" s="3" t="s">
        <v>18</v>
      </c>
      <c r="D19" s="4" t="s">
        <v>99</v>
      </c>
      <c r="E19" s="2" t="s">
        <v>193</v>
      </c>
      <c r="F19" s="2" t="s">
        <v>194</v>
      </c>
      <c r="G19" s="2" t="s">
        <v>297</v>
      </c>
      <c r="H19" s="2" t="s">
        <v>298</v>
      </c>
      <c r="I19" s="2" t="s">
        <v>104</v>
      </c>
      <c r="J19" s="63">
        <v>52</v>
      </c>
      <c r="K19" s="56" t="s">
        <v>13</v>
      </c>
      <c r="L19" s="28">
        <v>8.3999999999999995E-3</v>
      </c>
      <c r="M19" s="67" t="s">
        <v>299</v>
      </c>
      <c r="N19" s="64" t="s">
        <v>106</v>
      </c>
      <c r="O19" s="7" t="s">
        <v>93</v>
      </c>
      <c r="P19" s="80" t="s">
        <v>93</v>
      </c>
      <c r="Q19" s="71" t="s">
        <v>11</v>
      </c>
      <c r="R19" s="45" t="s">
        <v>93</v>
      </c>
      <c r="S19" s="87" t="s">
        <v>93</v>
      </c>
      <c r="T19" s="82" t="s">
        <v>108</v>
      </c>
      <c r="U19" s="27" t="s">
        <v>16</v>
      </c>
      <c r="V19" s="100" t="s">
        <v>16</v>
      </c>
      <c r="W19" s="94" t="s">
        <v>110</v>
      </c>
      <c r="X19" s="11" t="s">
        <v>16</v>
      </c>
      <c r="Y19" s="11" t="s">
        <v>16</v>
      </c>
      <c r="Z19" s="11" t="s">
        <v>16</v>
      </c>
      <c r="AA19" s="105" t="s">
        <v>16</v>
      </c>
      <c r="AB19" s="94" t="s">
        <v>300</v>
      </c>
      <c r="AC19" s="10"/>
      <c r="AD19" s="10"/>
      <c r="AE19" s="10"/>
    </row>
    <row r="20" spans="1:31" s="173" customFormat="1">
      <c r="A20" s="1">
        <v>1927</v>
      </c>
      <c r="B20" s="2" t="s">
        <v>12</v>
      </c>
      <c r="C20" s="3" t="s">
        <v>18</v>
      </c>
      <c r="D20" s="4" t="s">
        <v>99</v>
      </c>
      <c r="E20" s="2" t="s">
        <v>193</v>
      </c>
      <c r="F20" s="2" t="s">
        <v>194</v>
      </c>
      <c r="G20" s="2" t="s">
        <v>297</v>
      </c>
      <c r="H20" s="2" t="s">
        <v>298</v>
      </c>
      <c r="I20" s="2" t="s">
        <v>104</v>
      </c>
      <c r="J20" s="63">
        <v>52</v>
      </c>
      <c r="K20" s="56" t="s">
        <v>13</v>
      </c>
      <c r="L20" s="28">
        <v>8.3999999999999995E-3</v>
      </c>
      <c r="M20" s="67" t="s">
        <v>299</v>
      </c>
      <c r="N20" s="64" t="s">
        <v>106</v>
      </c>
      <c r="O20" s="7" t="s">
        <v>93</v>
      </c>
      <c r="P20" s="80" t="s">
        <v>93</v>
      </c>
      <c r="Q20" s="71" t="s">
        <v>11</v>
      </c>
      <c r="R20" s="45" t="s">
        <v>93</v>
      </c>
      <c r="S20" s="87" t="s">
        <v>93</v>
      </c>
      <c r="T20" s="82" t="s">
        <v>108</v>
      </c>
      <c r="U20" s="27" t="s">
        <v>16</v>
      </c>
      <c r="V20" s="100" t="s">
        <v>16</v>
      </c>
      <c r="W20" s="94" t="s">
        <v>110</v>
      </c>
      <c r="X20" s="11" t="s">
        <v>16</v>
      </c>
      <c r="Y20" s="11" t="s">
        <v>16</v>
      </c>
      <c r="Z20" s="11" t="s">
        <v>16</v>
      </c>
      <c r="AA20" s="105" t="s">
        <v>16</v>
      </c>
      <c r="AB20" s="94" t="s">
        <v>300</v>
      </c>
      <c r="AC20" s="10"/>
      <c r="AD20" s="10"/>
      <c r="AE20" s="10"/>
    </row>
    <row r="21" spans="1:31" s="173" customFormat="1">
      <c r="A21" s="1">
        <v>1928</v>
      </c>
      <c r="B21" s="2" t="s">
        <v>18</v>
      </c>
      <c r="C21" s="3" t="s">
        <v>18</v>
      </c>
      <c r="D21" s="4" t="s">
        <v>99</v>
      </c>
      <c r="E21" s="2" t="s">
        <v>193</v>
      </c>
      <c r="F21" s="2" t="s">
        <v>194</v>
      </c>
      <c r="G21" s="2" t="s">
        <v>297</v>
      </c>
      <c r="H21" s="2" t="s">
        <v>298</v>
      </c>
      <c r="I21" s="2" t="s">
        <v>104</v>
      </c>
      <c r="J21" s="63">
        <v>52</v>
      </c>
      <c r="K21" s="56" t="s">
        <v>13</v>
      </c>
      <c r="L21" s="28">
        <v>8.3999999999999995E-3</v>
      </c>
      <c r="M21" s="67" t="s">
        <v>299</v>
      </c>
      <c r="N21" s="64" t="s">
        <v>106</v>
      </c>
      <c r="O21" s="48" t="s">
        <v>93</v>
      </c>
      <c r="P21" s="76" t="s">
        <v>93</v>
      </c>
      <c r="Q21" s="71" t="s">
        <v>11</v>
      </c>
      <c r="R21" s="26" t="s">
        <v>93</v>
      </c>
      <c r="S21" s="87" t="s">
        <v>93</v>
      </c>
      <c r="T21" s="82" t="s">
        <v>108</v>
      </c>
      <c r="U21" s="46" t="s">
        <v>93</v>
      </c>
      <c r="V21" s="97" t="s">
        <v>93</v>
      </c>
      <c r="W21" s="94" t="s">
        <v>110</v>
      </c>
      <c r="X21" s="11" t="s">
        <v>16</v>
      </c>
      <c r="Y21" s="11" t="s">
        <v>16</v>
      </c>
      <c r="Z21" s="11" t="s">
        <v>16</v>
      </c>
      <c r="AA21" s="105" t="s">
        <v>16</v>
      </c>
      <c r="AB21" s="94" t="s">
        <v>300</v>
      </c>
      <c r="AC21" s="10"/>
      <c r="AD21" s="10"/>
      <c r="AE21" s="10"/>
    </row>
    <row r="22" spans="1:31" s="173" customFormat="1">
      <c r="A22" s="1">
        <v>1959</v>
      </c>
      <c r="B22" s="2" t="s">
        <v>18</v>
      </c>
      <c r="C22" s="3" t="s">
        <v>18</v>
      </c>
      <c r="D22" s="4" t="s">
        <v>99</v>
      </c>
      <c r="E22" s="2" t="s">
        <v>193</v>
      </c>
      <c r="F22" s="2" t="s">
        <v>194</v>
      </c>
      <c r="G22" s="2" t="s">
        <v>297</v>
      </c>
      <c r="H22" s="2" t="s">
        <v>298</v>
      </c>
      <c r="I22" s="2" t="s">
        <v>104</v>
      </c>
      <c r="J22" s="63">
        <v>52</v>
      </c>
      <c r="K22" s="56" t="s">
        <v>13</v>
      </c>
      <c r="L22" s="28">
        <v>8.3999999999999995E-3</v>
      </c>
      <c r="M22" s="67" t="s">
        <v>299</v>
      </c>
      <c r="N22" s="64" t="s">
        <v>106</v>
      </c>
      <c r="O22" s="48" t="s">
        <v>93</v>
      </c>
      <c r="P22" s="76" t="s">
        <v>93</v>
      </c>
      <c r="Q22" s="71" t="s">
        <v>11</v>
      </c>
      <c r="R22" s="26" t="s">
        <v>93</v>
      </c>
      <c r="S22" s="87" t="s">
        <v>93</v>
      </c>
      <c r="T22" s="82" t="s">
        <v>108</v>
      </c>
      <c r="U22" s="46" t="s">
        <v>93</v>
      </c>
      <c r="V22" s="97" t="s">
        <v>93</v>
      </c>
      <c r="W22" s="94" t="s">
        <v>110</v>
      </c>
      <c r="X22" s="11" t="s">
        <v>16</v>
      </c>
      <c r="Y22" s="11" t="s">
        <v>16</v>
      </c>
      <c r="Z22" s="11" t="s">
        <v>16</v>
      </c>
      <c r="AA22" s="105" t="s">
        <v>16</v>
      </c>
      <c r="AB22" s="94" t="s">
        <v>300</v>
      </c>
      <c r="AC22" s="10"/>
      <c r="AD22" s="10"/>
      <c r="AE22" s="10"/>
    </row>
    <row r="23" spans="1:31" s="173" customFormat="1">
      <c r="A23" s="1">
        <v>2007</v>
      </c>
      <c r="B23" s="2" t="s">
        <v>19</v>
      </c>
      <c r="C23" s="3" t="s">
        <v>112</v>
      </c>
      <c r="D23" s="4" t="s">
        <v>99</v>
      </c>
      <c r="E23" s="2" t="s">
        <v>92</v>
      </c>
      <c r="F23" s="2" t="s">
        <v>113</v>
      </c>
      <c r="G23" s="2" t="s">
        <v>114</v>
      </c>
      <c r="H23" s="2" t="s">
        <v>115</v>
      </c>
      <c r="I23" s="2" t="s">
        <v>116</v>
      </c>
      <c r="J23" s="60">
        <v>50</v>
      </c>
      <c r="K23" s="56" t="s">
        <v>13</v>
      </c>
      <c r="L23" s="13">
        <v>5.3E-3</v>
      </c>
      <c r="M23" s="67" t="s">
        <v>117</v>
      </c>
      <c r="N23" s="64" t="s">
        <v>106</v>
      </c>
      <c r="O23" s="14" t="s">
        <v>118</v>
      </c>
      <c r="P23" s="76" t="s">
        <v>93</v>
      </c>
      <c r="Q23" s="71" t="s">
        <v>16</v>
      </c>
      <c r="R23" s="8" t="s">
        <v>16</v>
      </c>
      <c r="S23" s="87" t="s">
        <v>16</v>
      </c>
      <c r="T23" s="82" t="s">
        <v>16</v>
      </c>
      <c r="U23" s="9" t="s">
        <v>16</v>
      </c>
      <c r="V23" s="97" t="s">
        <v>16</v>
      </c>
      <c r="W23" s="94" t="s">
        <v>119</v>
      </c>
      <c r="X23" s="10" t="s">
        <v>120</v>
      </c>
      <c r="Y23" s="10" t="s">
        <v>121</v>
      </c>
      <c r="Z23" s="11" t="s">
        <v>16</v>
      </c>
      <c r="AA23" s="105" t="s">
        <v>16</v>
      </c>
      <c r="AB23" s="94" t="s">
        <v>122</v>
      </c>
      <c r="AC23" s="10" t="s">
        <v>123</v>
      </c>
      <c r="AD23" s="10" t="s">
        <v>124</v>
      </c>
      <c r="AE23" s="10"/>
    </row>
    <row r="24" spans="1:31" s="173" customFormat="1">
      <c r="A24" s="1">
        <v>2008</v>
      </c>
      <c r="B24" s="2" t="s">
        <v>20</v>
      </c>
      <c r="C24" s="3" t="s">
        <v>112</v>
      </c>
      <c r="D24" s="4" t="s">
        <v>99</v>
      </c>
      <c r="E24" s="2" t="s">
        <v>92</v>
      </c>
      <c r="F24" s="2" t="s">
        <v>329</v>
      </c>
      <c r="G24" s="2" t="s">
        <v>114</v>
      </c>
      <c r="H24" s="2" t="s">
        <v>115</v>
      </c>
      <c r="I24" s="2" t="s">
        <v>116</v>
      </c>
      <c r="J24" s="60">
        <v>50</v>
      </c>
      <c r="K24" s="56" t="s">
        <v>13</v>
      </c>
      <c r="L24" s="13">
        <v>5.3E-3</v>
      </c>
      <c r="M24" s="67" t="s">
        <v>117</v>
      </c>
      <c r="N24" s="64" t="s">
        <v>106</v>
      </c>
      <c r="O24" s="14" t="s">
        <v>118</v>
      </c>
      <c r="P24" s="76" t="s">
        <v>93</v>
      </c>
      <c r="Q24" s="71" t="s">
        <v>16</v>
      </c>
      <c r="R24" s="8" t="s">
        <v>16</v>
      </c>
      <c r="S24" s="87" t="s">
        <v>16</v>
      </c>
      <c r="T24" s="82" t="s">
        <v>16</v>
      </c>
      <c r="U24" s="9" t="s">
        <v>16</v>
      </c>
      <c r="V24" s="97" t="s">
        <v>16</v>
      </c>
      <c r="W24" s="94" t="s">
        <v>119</v>
      </c>
      <c r="X24" s="10" t="s">
        <v>120</v>
      </c>
      <c r="Y24" s="10" t="s">
        <v>121</v>
      </c>
      <c r="Z24" s="11" t="s">
        <v>16</v>
      </c>
      <c r="AA24" s="105" t="s">
        <v>16</v>
      </c>
      <c r="AB24" s="94" t="s">
        <v>122</v>
      </c>
      <c r="AC24" s="10" t="s">
        <v>123</v>
      </c>
      <c r="AD24" s="10" t="s">
        <v>124</v>
      </c>
      <c r="AE24" s="10"/>
    </row>
    <row r="25" spans="1:31" s="173" customFormat="1">
      <c r="A25" s="1">
        <v>2012</v>
      </c>
      <c r="B25" s="2" t="s">
        <v>21</v>
      </c>
      <c r="C25" s="3" t="s">
        <v>21</v>
      </c>
      <c r="D25" s="4" t="s">
        <v>99</v>
      </c>
      <c r="E25" s="2" t="s">
        <v>100</v>
      </c>
      <c r="F25" s="2" t="s">
        <v>101</v>
      </c>
      <c r="G25" s="2" t="s">
        <v>102</v>
      </c>
      <c r="H25" s="2" t="s">
        <v>103</v>
      </c>
      <c r="I25" s="2" t="s">
        <v>104</v>
      </c>
      <c r="J25" s="60">
        <v>30</v>
      </c>
      <c r="K25" s="56" t="s">
        <v>13</v>
      </c>
      <c r="L25" s="13">
        <v>7.7000000000000002E-3</v>
      </c>
      <c r="M25" s="67" t="s">
        <v>105</v>
      </c>
      <c r="N25" s="64" t="s">
        <v>106</v>
      </c>
      <c r="O25" s="47" t="s">
        <v>93</v>
      </c>
      <c r="P25" s="76" t="s">
        <v>107</v>
      </c>
      <c r="Q25" s="71" t="s">
        <v>16</v>
      </c>
      <c r="R25" s="8" t="s">
        <v>16</v>
      </c>
      <c r="S25" s="87" t="s">
        <v>16</v>
      </c>
      <c r="T25" s="82" t="s">
        <v>108</v>
      </c>
      <c r="U25" s="49" t="s">
        <v>93</v>
      </c>
      <c r="V25" s="97" t="s">
        <v>109</v>
      </c>
      <c r="W25" s="94" t="s">
        <v>110</v>
      </c>
      <c r="X25" s="11" t="s">
        <v>16</v>
      </c>
      <c r="Y25" s="11" t="s">
        <v>16</v>
      </c>
      <c r="Z25" s="11" t="s">
        <v>16</v>
      </c>
      <c r="AA25" s="105" t="s">
        <v>16</v>
      </c>
      <c r="AB25" s="94" t="s">
        <v>111</v>
      </c>
      <c r="AC25" s="10"/>
      <c r="AD25" s="10"/>
      <c r="AE25" s="10"/>
    </row>
    <row r="26" spans="1:31" s="173" customFormat="1">
      <c r="A26" s="1">
        <v>2019</v>
      </c>
      <c r="B26" s="2" t="s">
        <v>22</v>
      </c>
      <c r="C26" s="3" t="s">
        <v>22</v>
      </c>
      <c r="D26" s="4" t="s">
        <v>99</v>
      </c>
      <c r="E26" s="2" t="s">
        <v>92</v>
      </c>
      <c r="F26" s="2" t="s">
        <v>194</v>
      </c>
      <c r="G26" s="2" t="s">
        <v>293</v>
      </c>
      <c r="H26" s="2" t="s">
        <v>294</v>
      </c>
      <c r="I26" s="2" t="s">
        <v>116</v>
      </c>
      <c r="J26" s="60">
        <v>7.1</v>
      </c>
      <c r="K26" s="56" t="s">
        <v>13</v>
      </c>
      <c r="L26" s="13">
        <v>5.5999999999999999E-3</v>
      </c>
      <c r="M26" s="67" t="s">
        <v>295</v>
      </c>
      <c r="N26" s="64" t="s">
        <v>16</v>
      </c>
      <c r="O26" s="6" t="s">
        <v>16</v>
      </c>
      <c r="P26" s="76" t="s">
        <v>16</v>
      </c>
      <c r="Q26" s="71" t="s">
        <v>16</v>
      </c>
      <c r="R26" s="8" t="s">
        <v>16</v>
      </c>
      <c r="S26" s="87" t="s">
        <v>16</v>
      </c>
      <c r="T26" s="82" t="s">
        <v>16</v>
      </c>
      <c r="U26" s="49" t="s">
        <v>16</v>
      </c>
      <c r="V26" s="97" t="s">
        <v>16</v>
      </c>
      <c r="W26" s="94" t="s">
        <v>119</v>
      </c>
      <c r="X26" s="10" t="s">
        <v>120</v>
      </c>
      <c r="Y26" s="10" t="s">
        <v>121</v>
      </c>
      <c r="Z26" s="11" t="s">
        <v>16</v>
      </c>
      <c r="AA26" s="105" t="s">
        <v>16</v>
      </c>
      <c r="AB26" s="94" t="s">
        <v>296</v>
      </c>
      <c r="AC26" s="10"/>
      <c r="AD26" s="10"/>
      <c r="AE26" s="10"/>
    </row>
    <row r="27" spans="1:31" s="173" customFormat="1">
      <c r="A27" s="1">
        <v>2020</v>
      </c>
      <c r="B27" s="2" t="s">
        <v>33</v>
      </c>
      <c r="C27" s="3" t="s">
        <v>33</v>
      </c>
      <c r="D27" s="4" t="s">
        <v>99</v>
      </c>
      <c r="E27" s="2" t="s">
        <v>92</v>
      </c>
      <c r="F27" s="2" t="s">
        <v>210</v>
      </c>
      <c r="G27" s="2" t="s">
        <v>211</v>
      </c>
      <c r="H27" s="2" t="s">
        <v>212</v>
      </c>
      <c r="I27" s="2" t="s">
        <v>213</v>
      </c>
      <c r="J27" s="60">
        <v>7.1</v>
      </c>
      <c r="K27" s="56" t="s">
        <v>28</v>
      </c>
      <c r="L27" s="28">
        <v>0.29499999999999998</v>
      </c>
      <c r="M27" s="67" t="s">
        <v>214</v>
      </c>
      <c r="N27" s="64" t="s">
        <v>16</v>
      </c>
      <c r="O27" s="6" t="s">
        <v>16</v>
      </c>
      <c r="P27" s="78" t="s">
        <v>16</v>
      </c>
      <c r="Q27" s="71" t="s">
        <v>16</v>
      </c>
      <c r="R27" s="50" t="s">
        <v>16</v>
      </c>
      <c r="S27" s="87" t="s">
        <v>16</v>
      </c>
      <c r="T27" s="82" t="s">
        <v>16</v>
      </c>
      <c r="U27" s="49" t="s">
        <v>16</v>
      </c>
      <c r="V27" s="97" t="s">
        <v>16</v>
      </c>
      <c r="W27" s="94" t="s">
        <v>93</v>
      </c>
      <c r="X27" s="11" t="s">
        <v>16</v>
      </c>
      <c r="Y27" s="11" t="s">
        <v>16</v>
      </c>
      <c r="Z27" s="11" t="s">
        <v>16</v>
      </c>
      <c r="AA27" s="107" t="s">
        <v>16</v>
      </c>
      <c r="AB27" s="94" t="s">
        <v>215</v>
      </c>
      <c r="AC27" s="10"/>
      <c r="AD27" s="10"/>
      <c r="AE27" s="10"/>
    </row>
    <row r="28" spans="1:31" s="173" customFormat="1">
      <c r="A28" s="1">
        <v>2021</v>
      </c>
      <c r="B28" s="2" t="s">
        <v>33</v>
      </c>
      <c r="C28" s="3" t="s">
        <v>33</v>
      </c>
      <c r="D28" s="4" t="s">
        <v>99</v>
      </c>
      <c r="E28" s="2" t="s">
        <v>92</v>
      </c>
      <c r="F28" s="2" t="s">
        <v>210</v>
      </c>
      <c r="G28" s="2" t="s">
        <v>211</v>
      </c>
      <c r="H28" s="2" t="s">
        <v>212</v>
      </c>
      <c r="I28" s="2" t="s">
        <v>213</v>
      </c>
      <c r="J28" s="60">
        <v>7.1</v>
      </c>
      <c r="K28" s="56" t="s">
        <v>28</v>
      </c>
      <c r="L28" s="28">
        <v>0.29499999999999998</v>
      </c>
      <c r="M28" s="67" t="s">
        <v>214</v>
      </c>
      <c r="N28" s="64" t="s">
        <v>16</v>
      </c>
      <c r="O28" s="6" t="s">
        <v>16</v>
      </c>
      <c r="P28" s="78" t="s">
        <v>16</v>
      </c>
      <c r="Q28" s="71" t="s">
        <v>16</v>
      </c>
      <c r="R28" s="50" t="s">
        <v>16</v>
      </c>
      <c r="S28" s="87" t="s">
        <v>16</v>
      </c>
      <c r="T28" s="82" t="s">
        <v>16</v>
      </c>
      <c r="U28" s="49" t="s">
        <v>16</v>
      </c>
      <c r="V28" s="97" t="s">
        <v>16</v>
      </c>
      <c r="W28" s="94" t="s">
        <v>93</v>
      </c>
      <c r="X28" s="11" t="s">
        <v>16</v>
      </c>
      <c r="Y28" s="11" t="s">
        <v>16</v>
      </c>
      <c r="Z28" s="11" t="s">
        <v>16</v>
      </c>
      <c r="AA28" s="107" t="s">
        <v>16</v>
      </c>
      <c r="AB28" s="94" t="s">
        <v>215</v>
      </c>
      <c r="AC28" s="10"/>
      <c r="AD28" s="10"/>
      <c r="AE28" s="10"/>
    </row>
    <row r="29" spans="1:31" s="173" customFormat="1">
      <c r="A29" s="1">
        <v>2036</v>
      </c>
      <c r="B29" s="2" t="s">
        <v>265</v>
      </c>
      <c r="C29" s="3" t="s">
        <v>265</v>
      </c>
      <c r="D29" s="175" t="s">
        <v>616</v>
      </c>
      <c r="E29" s="2" t="s">
        <v>193</v>
      </c>
      <c r="F29" s="44" t="s">
        <v>93</v>
      </c>
      <c r="G29" s="2" t="s">
        <v>266</v>
      </c>
      <c r="H29" s="2" t="s">
        <v>267</v>
      </c>
      <c r="I29" s="2" t="s">
        <v>268</v>
      </c>
      <c r="J29" s="59" t="s">
        <v>93</v>
      </c>
      <c r="K29" s="36" t="s">
        <v>13</v>
      </c>
      <c r="L29" s="5" t="s">
        <v>93</v>
      </c>
      <c r="M29" s="66" t="s">
        <v>93</v>
      </c>
      <c r="N29" s="64" t="s">
        <v>16</v>
      </c>
      <c r="O29" s="6" t="s">
        <v>16</v>
      </c>
      <c r="P29" s="76" t="s">
        <v>16</v>
      </c>
      <c r="Q29" s="73" t="s">
        <v>11</v>
      </c>
      <c r="R29" s="26" t="s">
        <v>269</v>
      </c>
      <c r="S29" s="87" t="s">
        <v>93</v>
      </c>
      <c r="T29" s="84" t="s">
        <v>108</v>
      </c>
      <c r="U29" s="46" t="s">
        <v>93</v>
      </c>
      <c r="V29" s="97" t="s">
        <v>93</v>
      </c>
      <c r="W29" s="94" t="s">
        <v>93</v>
      </c>
      <c r="X29" s="11" t="s">
        <v>16</v>
      </c>
      <c r="Y29" s="11" t="s">
        <v>16</v>
      </c>
      <c r="Z29" s="11" t="s">
        <v>16</v>
      </c>
      <c r="AA29" s="107" t="s">
        <v>16</v>
      </c>
      <c r="AB29" s="94" t="s">
        <v>270</v>
      </c>
      <c r="AC29" s="10" t="s">
        <v>271</v>
      </c>
      <c r="AD29" s="10" t="s">
        <v>272</v>
      </c>
      <c r="AE29" s="10" t="s">
        <v>273</v>
      </c>
    </row>
    <row r="30" spans="1:31" s="173" customFormat="1">
      <c r="A30" s="1">
        <v>2040</v>
      </c>
      <c r="B30" s="2" t="s">
        <v>265</v>
      </c>
      <c r="C30" s="3" t="s">
        <v>265</v>
      </c>
      <c r="D30" s="175" t="s">
        <v>616</v>
      </c>
      <c r="E30" s="2" t="s">
        <v>193</v>
      </c>
      <c r="F30" s="44" t="s">
        <v>93</v>
      </c>
      <c r="G30" s="2" t="s">
        <v>274</v>
      </c>
      <c r="H30" s="2" t="s">
        <v>275</v>
      </c>
      <c r="I30" s="2" t="s">
        <v>268</v>
      </c>
      <c r="J30" s="59" t="s">
        <v>93</v>
      </c>
      <c r="K30" s="36" t="s">
        <v>13</v>
      </c>
      <c r="L30" s="5" t="s">
        <v>93</v>
      </c>
      <c r="M30" s="66" t="s">
        <v>93</v>
      </c>
      <c r="N30" s="64" t="s">
        <v>16</v>
      </c>
      <c r="O30" s="6" t="s">
        <v>16</v>
      </c>
      <c r="P30" s="76" t="s">
        <v>16</v>
      </c>
      <c r="Q30" s="73" t="s">
        <v>11</v>
      </c>
      <c r="R30" s="26" t="s">
        <v>269</v>
      </c>
      <c r="S30" s="87" t="s">
        <v>93</v>
      </c>
      <c r="T30" s="84" t="s">
        <v>108</v>
      </c>
      <c r="U30" s="46" t="s">
        <v>93</v>
      </c>
      <c r="V30" s="97" t="s">
        <v>93</v>
      </c>
      <c r="W30" s="94" t="s">
        <v>93</v>
      </c>
      <c r="X30" s="11" t="s">
        <v>16</v>
      </c>
      <c r="Y30" s="11" t="s">
        <v>16</v>
      </c>
      <c r="Z30" s="11" t="s">
        <v>16</v>
      </c>
      <c r="AA30" s="107" t="s">
        <v>16</v>
      </c>
      <c r="AB30" s="94" t="s">
        <v>270</v>
      </c>
      <c r="AC30" s="10" t="s">
        <v>271</v>
      </c>
      <c r="AD30" s="10" t="s">
        <v>272</v>
      </c>
      <c r="AE30" s="10" t="s">
        <v>273</v>
      </c>
    </row>
    <row r="31" spans="1:31" s="173" customFormat="1">
      <c r="A31" s="1">
        <v>2058</v>
      </c>
      <c r="B31" s="2" t="s">
        <v>508</v>
      </c>
      <c r="C31" s="3" t="s">
        <v>508</v>
      </c>
      <c r="D31" s="4" t="s">
        <v>99</v>
      </c>
      <c r="E31" s="2" t="s">
        <v>193</v>
      </c>
      <c r="F31" s="2" t="s">
        <v>194</v>
      </c>
      <c r="G31" s="17" t="s">
        <v>509</v>
      </c>
      <c r="H31" s="17" t="s">
        <v>510</v>
      </c>
      <c r="I31" s="2" t="s">
        <v>511</v>
      </c>
      <c r="J31" s="41" t="s">
        <v>93</v>
      </c>
      <c r="K31" s="36" t="s">
        <v>13</v>
      </c>
      <c r="L31" s="28">
        <v>7.0000000000000001E-3</v>
      </c>
      <c r="M31" s="67" t="s">
        <v>612</v>
      </c>
      <c r="N31" s="37" t="s">
        <v>93</v>
      </c>
      <c r="O31" s="7" t="s">
        <v>93</v>
      </c>
      <c r="P31" s="75" t="s">
        <v>512</v>
      </c>
      <c r="Q31" s="73" t="s">
        <v>11</v>
      </c>
      <c r="R31" s="26" t="s">
        <v>513</v>
      </c>
      <c r="S31" s="90" t="s">
        <v>514</v>
      </c>
      <c r="T31" s="84" t="s">
        <v>108</v>
      </c>
      <c r="U31" s="27" t="s">
        <v>515</v>
      </c>
      <c r="V31" s="101" t="s">
        <v>93</v>
      </c>
      <c r="W31" s="94" t="s">
        <v>516</v>
      </c>
      <c r="X31" s="11" t="s">
        <v>16</v>
      </c>
      <c r="Y31" s="11" t="s">
        <v>16</v>
      </c>
      <c r="Z31" s="11" t="s">
        <v>16</v>
      </c>
      <c r="AA31" s="105" t="s">
        <v>16</v>
      </c>
      <c r="AB31" s="94" t="s">
        <v>517</v>
      </c>
      <c r="AC31" s="10" t="s">
        <v>518</v>
      </c>
      <c r="AD31" s="10"/>
      <c r="AE31" s="10"/>
    </row>
    <row r="32" spans="1:31" s="173" customFormat="1">
      <c r="A32" s="1">
        <v>2076</v>
      </c>
      <c r="B32" s="2" t="s">
        <v>23</v>
      </c>
      <c r="C32" s="3" t="s">
        <v>23</v>
      </c>
      <c r="D32" s="4" t="s">
        <v>99</v>
      </c>
      <c r="E32" s="2" t="s">
        <v>100</v>
      </c>
      <c r="F32" s="2" t="s">
        <v>329</v>
      </c>
      <c r="G32" s="2" t="s">
        <v>600</v>
      </c>
      <c r="H32" s="2" t="s">
        <v>601</v>
      </c>
      <c r="I32" s="2" t="s">
        <v>602</v>
      </c>
      <c r="J32" s="63">
        <v>1.43</v>
      </c>
      <c r="K32" s="36" t="s">
        <v>13</v>
      </c>
      <c r="L32" s="28">
        <v>1.4999999999999999E-2</v>
      </c>
      <c r="M32" s="67" t="s">
        <v>603</v>
      </c>
      <c r="N32" s="37" t="s">
        <v>16</v>
      </c>
      <c r="O32" s="6" t="s">
        <v>16</v>
      </c>
      <c r="P32" s="81" t="s">
        <v>16</v>
      </c>
      <c r="Q32" s="73" t="s">
        <v>16</v>
      </c>
      <c r="R32" s="26" t="s">
        <v>16</v>
      </c>
      <c r="S32" s="90" t="s">
        <v>16</v>
      </c>
      <c r="T32" s="84" t="s">
        <v>16</v>
      </c>
      <c r="U32" s="27" t="s">
        <v>16</v>
      </c>
      <c r="V32" s="100" t="s">
        <v>16</v>
      </c>
      <c r="W32" s="94" t="s">
        <v>604</v>
      </c>
      <c r="X32" s="10" t="s">
        <v>605</v>
      </c>
      <c r="Y32" s="11" t="s">
        <v>16</v>
      </c>
      <c r="Z32" s="11" t="s">
        <v>16</v>
      </c>
      <c r="AA32" s="105" t="s">
        <v>16</v>
      </c>
      <c r="AB32" s="94" t="s">
        <v>606</v>
      </c>
      <c r="AC32" s="11" t="s">
        <v>16</v>
      </c>
      <c r="AD32" s="11" t="s">
        <v>16</v>
      </c>
      <c r="AE32" s="11" t="s">
        <v>16</v>
      </c>
    </row>
    <row r="33" spans="1:31" s="173" customFormat="1">
      <c r="A33" s="1">
        <v>2077</v>
      </c>
      <c r="B33" s="2" t="s">
        <v>23</v>
      </c>
      <c r="C33" s="3" t="s">
        <v>23</v>
      </c>
      <c r="D33" s="4" t="s">
        <v>99</v>
      </c>
      <c r="E33" s="2" t="s">
        <v>100</v>
      </c>
      <c r="F33" s="2" t="s">
        <v>329</v>
      </c>
      <c r="G33" s="2" t="s">
        <v>600</v>
      </c>
      <c r="H33" s="2" t="s">
        <v>601</v>
      </c>
      <c r="I33" s="2" t="s">
        <v>602</v>
      </c>
      <c r="J33" s="63">
        <v>1.43</v>
      </c>
      <c r="K33" s="36" t="s">
        <v>13</v>
      </c>
      <c r="L33" s="28">
        <v>1.4999999999999999E-2</v>
      </c>
      <c r="M33" s="67" t="s">
        <v>607</v>
      </c>
      <c r="N33" s="37" t="s">
        <v>16</v>
      </c>
      <c r="O33" s="6" t="s">
        <v>16</v>
      </c>
      <c r="P33" s="81" t="s">
        <v>16</v>
      </c>
      <c r="Q33" s="73" t="s">
        <v>16</v>
      </c>
      <c r="R33" s="26" t="s">
        <v>16</v>
      </c>
      <c r="S33" s="90" t="s">
        <v>16</v>
      </c>
      <c r="T33" s="84" t="s">
        <v>16</v>
      </c>
      <c r="U33" s="27" t="s">
        <v>16</v>
      </c>
      <c r="V33" s="100" t="s">
        <v>16</v>
      </c>
      <c r="W33" s="94" t="s">
        <v>604</v>
      </c>
      <c r="X33" s="10" t="s">
        <v>605</v>
      </c>
      <c r="Y33" s="11" t="s">
        <v>16</v>
      </c>
      <c r="Z33" s="11" t="s">
        <v>16</v>
      </c>
      <c r="AA33" s="105" t="s">
        <v>16</v>
      </c>
      <c r="AB33" s="94" t="s">
        <v>606</v>
      </c>
      <c r="AC33" s="11" t="s">
        <v>16</v>
      </c>
      <c r="AD33" s="11" t="s">
        <v>16</v>
      </c>
      <c r="AE33" s="11" t="s">
        <v>16</v>
      </c>
    </row>
    <row r="34" spans="1:31" s="173" customFormat="1">
      <c r="A34" s="1">
        <v>2078</v>
      </c>
      <c r="B34" s="2" t="s">
        <v>24</v>
      </c>
      <c r="C34" s="3" t="s">
        <v>468</v>
      </c>
      <c r="D34" s="4" t="s">
        <v>99</v>
      </c>
      <c r="E34" s="2" t="s">
        <v>92</v>
      </c>
      <c r="F34" s="2" t="s">
        <v>194</v>
      </c>
      <c r="G34" s="2" t="s">
        <v>469</v>
      </c>
      <c r="H34" s="2" t="s">
        <v>470</v>
      </c>
      <c r="I34" s="2" t="s">
        <v>471</v>
      </c>
      <c r="J34" s="60">
        <v>55</v>
      </c>
      <c r="K34" s="56" t="s">
        <v>13</v>
      </c>
      <c r="L34" s="13" t="s">
        <v>472</v>
      </c>
      <c r="M34" s="67" t="s">
        <v>473</v>
      </c>
      <c r="N34" s="64" t="s">
        <v>106</v>
      </c>
      <c r="O34" s="6" t="s">
        <v>474</v>
      </c>
      <c r="P34" s="76">
        <v>10900</v>
      </c>
      <c r="Q34" s="71" t="s">
        <v>11</v>
      </c>
      <c r="R34" s="8" t="s">
        <v>475</v>
      </c>
      <c r="S34" s="87" t="s">
        <v>476</v>
      </c>
      <c r="T34" s="82" t="s">
        <v>16</v>
      </c>
      <c r="U34" s="49" t="s">
        <v>16</v>
      </c>
      <c r="V34" s="97" t="s">
        <v>16</v>
      </c>
      <c r="W34" s="94" t="s">
        <v>477</v>
      </c>
      <c r="X34" s="10" t="s">
        <v>478</v>
      </c>
      <c r="Y34" s="10" t="s">
        <v>479</v>
      </c>
      <c r="Z34" s="10" t="s">
        <v>480</v>
      </c>
      <c r="AA34" s="54" t="s">
        <v>481</v>
      </c>
      <c r="AB34" s="94" t="s">
        <v>482</v>
      </c>
      <c r="AC34" s="10" t="s">
        <v>483</v>
      </c>
      <c r="AD34" s="10" t="s">
        <v>131</v>
      </c>
      <c r="AE34" s="10"/>
    </row>
    <row r="35" spans="1:31" s="173" customFormat="1">
      <c r="A35" s="1">
        <v>2080</v>
      </c>
      <c r="B35" s="2" t="s">
        <v>25</v>
      </c>
      <c r="C35" s="3" t="s">
        <v>25</v>
      </c>
      <c r="D35" s="4" t="s">
        <v>99</v>
      </c>
      <c r="E35" s="2" t="s">
        <v>100</v>
      </c>
      <c r="F35" s="2" t="s">
        <v>194</v>
      </c>
      <c r="G35" s="2" t="s">
        <v>519</v>
      </c>
      <c r="H35" s="2" t="s">
        <v>520</v>
      </c>
      <c r="I35" s="2" t="s">
        <v>521</v>
      </c>
      <c r="J35" s="62" t="s">
        <v>93</v>
      </c>
      <c r="K35" s="56" t="s">
        <v>13</v>
      </c>
      <c r="L35" s="13">
        <v>1.2500000000000001E-2</v>
      </c>
      <c r="M35" s="67" t="s">
        <v>522</v>
      </c>
      <c r="N35" s="64" t="s">
        <v>16</v>
      </c>
      <c r="O35" s="6" t="s">
        <v>16</v>
      </c>
      <c r="P35" s="81" t="s">
        <v>16</v>
      </c>
      <c r="Q35" s="71" t="s">
        <v>11</v>
      </c>
      <c r="R35" s="8" t="s">
        <v>523</v>
      </c>
      <c r="S35" s="87" t="s">
        <v>524</v>
      </c>
      <c r="T35" s="82" t="s">
        <v>108</v>
      </c>
      <c r="U35" s="49" t="s">
        <v>525</v>
      </c>
      <c r="V35" s="97" t="s">
        <v>526</v>
      </c>
      <c r="W35" s="94" t="s">
        <v>527</v>
      </c>
      <c r="X35" s="11" t="s">
        <v>16</v>
      </c>
      <c r="Y35" s="11" t="s">
        <v>16</v>
      </c>
      <c r="Z35" s="11" t="s">
        <v>16</v>
      </c>
      <c r="AA35" s="107" t="s">
        <v>16</v>
      </c>
      <c r="AB35" s="104" t="s">
        <v>528</v>
      </c>
      <c r="AC35" s="10"/>
      <c r="AD35" s="10"/>
      <c r="AE35" s="10"/>
    </row>
    <row r="36" spans="1:31" s="173" customFormat="1">
      <c r="A36" s="1">
        <v>2082</v>
      </c>
      <c r="B36" s="2" t="s">
        <v>25</v>
      </c>
      <c r="C36" s="3" t="s">
        <v>25</v>
      </c>
      <c r="D36" s="4" t="s">
        <v>99</v>
      </c>
      <c r="E36" s="2" t="s">
        <v>100</v>
      </c>
      <c r="F36" s="2" t="s">
        <v>194</v>
      </c>
      <c r="G36" s="2" t="s">
        <v>519</v>
      </c>
      <c r="H36" s="2" t="s">
        <v>520</v>
      </c>
      <c r="I36" s="2" t="s">
        <v>521</v>
      </c>
      <c r="J36" s="62" t="s">
        <v>93</v>
      </c>
      <c r="K36" s="56" t="s">
        <v>13</v>
      </c>
      <c r="L36" s="13">
        <v>1.2500000000000001E-2</v>
      </c>
      <c r="M36" s="67" t="s">
        <v>522</v>
      </c>
      <c r="N36" s="64" t="s">
        <v>16</v>
      </c>
      <c r="O36" s="6" t="s">
        <v>16</v>
      </c>
      <c r="P36" s="81" t="s">
        <v>16</v>
      </c>
      <c r="Q36" s="71" t="s">
        <v>11</v>
      </c>
      <c r="R36" s="8" t="s">
        <v>523</v>
      </c>
      <c r="S36" s="87" t="s">
        <v>524</v>
      </c>
      <c r="T36" s="82" t="s">
        <v>108</v>
      </c>
      <c r="U36" s="49" t="s">
        <v>525</v>
      </c>
      <c r="V36" s="97" t="s">
        <v>526</v>
      </c>
      <c r="W36" s="94" t="s">
        <v>527</v>
      </c>
      <c r="X36" s="11" t="s">
        <v>16</v>
      </c>
      <c r="Y36" s="11" t="s">
        <v>16</v>
      </c>
      <c r="Z36" s="11" t="s">
        <v>16</v>
      </c>
      <c r="AA36" s="107" t="s">
        <v>16</v>
      </c>
      <c r="AB36" s="94" t="s">
        <v>528</v>
      </c>
      <c r="AC36" s="10"/>
      <c r="AD36" s="10"/>
      <c r="AE36" s="10"/>
    </row>
    <row r="37" spans="1:31" s="173" customFormat="1">
      <c r="A37" s="1">
        <v>2086</v>
      </c>
      <c r="B37" s="2" t="s">
        <v>23</v>
      </c>
      <c r="C37" s="3" t="s">
        <v>23</v>
      </c>
      <c r="D37" s="4" t="s">
        <v>99</v>
      </c>
      <c r="E37" s="2" t="s">
        <v>100</v>
      </c>
      <c r="F37" s="2" t="s">
        <v>329</v>
      </c>
      <c r="G37" s="2" t="s">
        <v>600</v>
      </c>
      <c r="H37" s="2" t="s">
        <v>601</v>
      </c>
      <c r="I37" s="2" t="s">
        <v>602</v>
      </c>
      <c r="J37" s="63">
        <v>1.43</v>
      </c>
      <c r="K37" s="36" t="s">
        <v>13</v>
      </c>
      <c r="L37" s="28">
        <v>1.4999999999999999E-2</v>
      </c>
      <c r="M37" s="67" t="s">
        <v>608</v>
      </c>
      <c r="N37" s="37" t="s">
        <v>16</v>
      </c>
      <c r="O37" s="6" t="s">
        <v>16</v>
      </c>
      <c r="P37" s="81" t="s">
        <v>16</v>
      </c>
      <c r="Q37" s="73" t="s">
        <v>16</v>
      </c>
      <c r="R37" s="26" t="s">
        <v>16</v>
      </c>
      <c r="S37" s="90" t="s">
        <v>16</v>
      </c>
      <c r="T37" s="84" t="s">
        <v>16</v>
      </c>
      <c r="U37" s="27" t="s">
        <v>16</v>
      </c>
      <c r="V37" s="100" t="s">
        <v>16</v>
      </c>
      <c r="W37" s="94" t="s">
        <v>604</v>
      </c>
      <c r="X37" s="10" t="s">
        <v>605</v>
      </c>
      <c r="Y37" s="11" t="s">
        <v>16</v>
      </c>
      <c r="Z37" s="11" t="s">
        <v>16</v>
      </c>
      <c r="AA37" s="105" t="s">
        <v>16</v>
      </c>
      <c r="AB37" s="94" t="s">
        <v>606</v>
      </c>
      <c r="AC37" s="11" t="s">
        <v>16</v>
      </c>
      <c r="AD37" s="11" t="s">
        <v>16</v>
      </c>
      <c r="AE37" s="10"/>
    </row>
    <row r="38" spans="1:31" s="173" customFormat="1">
      <c r="A38" s="1">
        <v>2087</v>
      </c>
      <c r="B38" s="2" t="s">
        <v>23</v>
      </c>
      <c r="C38" s="3" t="s">
        <v>23</v>
      </c>
      <c r="D38" s="4" t="s">
        <v>99</v>
      </c>
      <c r="E38" s="2" t="s">
        <v>100</v>
      </c>
      <c r="F38" s="2" t="s">
        <v>329</v>
      </c>
      <c r="G38" s="2" t="s">
        <v>600</v>
      </c>
      <c r="H38" s="2" t="s">
        <v>601</v>
      </c>
      <c r="I38" s="2" t="s">
        <v>602</v>
      </c>
      <c r="J38" s="63">
        <v>1.43</v>
      </c>
      <c r="K38" s="36" t="s">
        <v>13</v>
      </c>
      <c r="L38" s="28">
        <v>1.4999999999999999E-2</v>
      </c>
      <c r="M38" s="67" t="s">
        <v>609</v>
      </c>
      <c r="N38" s="37" t="s">
        <v>16</v>
      </c>
      <c r="O38" s="6" t="s">
        <v>16</v>
      </c>
      <c r="P38" s="81" t="s">
        <v>16</v>
      </c>
      <c r="Q38" s="73" t="s">
        <v>16</v>
      </c>
      <c r="R38" s="26" t="s">
        <v>16</v>
      </c>
      <c r="S38" s="90" t="s">
        <v>16</v>
      </c>
      <c r="T38" s="84" t="s">
        <v>16</v>
      </c>
      <c r="U38" s="27" t="s">
        <v>16</v>
      </c>
      <c r="V38" s="100" t="s">
        <v>16</v>
      </c>
      <c r="W38" s="94" t="s">
        <v>604</v>
      </c>
      <c r="X38" s="10" t="s">
        <v>605</v>
      </c>
      <c r="Y38" s="11" t="s">
        <v>16</v>
      </c>
      <c r="Z38" s="11" t="s">
        <v>16</v>
      </c>
      <c r="AA38" s="105" t="s">
        <v>16</v>
      </c>
      <c r="AB38" s="94" t="s">
        <v>606</v>
      </c>
      <c r="AC38" s="11" t="s">
        <v>16</v>
      </c>
      <c r="AD38" s="11" t="s">
        <v>16</v>
      </c>
      <c r="AE38" s="10"/>
    </row>
    <row r="39" spans="1:31" s="173" customFormat="1">
      <c r="A39" s="1">
        <v>2088</v>
      </c>
      <c r="B39" s="2" t="s">
        <v>24</v>
      </c>
      <c r="C39" s="3" t="s">
        <v>468</v>
      </c>
      <c r="D39" s="4" t="s">
        <v>99</v>
      </c>
      <c r="E39" s="2" t="s">
        <v>92</v>
      </c>
      <c r="F39" s="2" t="s">
        <v>194</v>
      </c>
      <c r="G39" s="2" t="s">
        <v>469</v>
      </c>
      <c r="H39" s="2" t="s">
        <v>470</v>
      </c>
      <c r="I39" s="2" t="s">
        <v>471</v>
      </c>
      <c r="J39" s="60">
        <v>56</v>
      </c>
      <c r="K39" s="56" t="s">
        <v>13</v>
      </c>
      <c r="L39" s="13" t="s">
        <v>472</v>
      </c>
      <c r="M39" s="67" t="s">
        <v>473</v>
      </c>
      <c r="N39" s="64" t="s">
        <v>106</v>
      </c>
      <c r="O39" s="6" t="s">
        <v>484</v>
      </c>
      <c r="P39" s="76">
        <v>10900</v>
      </c>
      <c r="Q39" s="71" t="s">
        <v>11</v>
      </c>
      <c r="R39" s="8" t="s">
        <v>475</v>
      </c>
      <c r="S39" s="87" t="s">
        <v>476</v>
      </c>
      <c r="T39" s="82" t="s">
        <v>16</v>
      </c>
      <c r="U39" s="49" t="s">
        <v>16</v>
      </c>
      <c r="V39" s="97" t="s">
        <v>16</v>
      </c>
      <c r="W39" s="94" t="s">
        <v>477</v>
      </c>
      <c r="X39" s="10" t="s">
        <v>478</v>
      </c>
      <c r="Y39" s="10" t="s">
        <v>479</v>
      </c>
      <c r="Z39" s="10" t="s">
        <v>480</v>
      </c>
      <c r="AA39" s="54" t="s">
        <v>481</v>
      </c>
      <c r="AB39" s="94" t="s">
        <v>482</v>
      </c>
      <c r="AC39" s="10" t="s">
        <v>483</v>
      </c>
      <c r="AD39" s="10" t="s">
        <v>131</v>
      </c>
      <c r="AE39" s="10"/>
    </row>
    <row r="40" spans="1:31" s="173" customFormat="1">
      <c r="A40" s="1">
        <v>2089</v>
      </c>
      <c r="B40" s="2" t="s">
        <v>23</v>
      </c>
      <c r="C40" s="3" t="s">
        <v>23</v>
      </c>
      <c r="D40" s="4" t="s">
        <v>99</v>
      </c>
      <c r="E40" s="2" t="s">
        <v>100</v>
      </c>
      <c r="F40" s="2" t="s">
        <v>329</v>
      </c>
      <c r="G40" s="2" t="s">
        <v>600</v>
      </c>
      <c r="H40" s="2" t="s">
        <v>601</v>
      </c>
      <c r="I40" s="2" t="s">
        <v>602</v>
      </c>
      <c r="J40" s="63">
        <v>1.43</v>
      </c>
      <c r="K40" s="36" t="s">
        <v>13</v>
      </c>
      <c r="L40" s="28">
        <v>1.4999999999999999E-2</v>
      </c>
      <c r="M40" s="67" t="s">
        <v>610</v>
      </c>
      <c r="N40" s="37" t="s">
        <v>16</v>
      </c>
      <c r="O40" s="6" t="s">
        <v>16</v>
      </c>
      <c r="P40" s="81" t="s">
        <v>16</v>
      </c>
      <c r="Q40" s="73" t="s">
        <v>16</v>
      </c>
      <c r="R40" s="26" t="s">
        <v>16</v>
      </c>
      <c r="S40" s="90" t="s">
        <v>16</v>
      </c>
      <c r="T40" s="84" t="s">
        <v>16</v>
      </c>
      <c r="U40" s="27" t="s">
        <v>16</v>
      </c>
      <c r="V40" s="100" t="s">
        <v>16</v>
      </c>
      <c r="W40" s="94" t="s">
        <v>604</v>
      </c>
      <c r="X40" s="10" t="s">
        <v>605</v>
      </c>
      <c r="Y40" s="11" t="s">
        <v>16</v>
      </c>
      <c r="Z40" s="11" t="s">
        <v>16</v>
      </c>
      <c r="AA40" s="105" t="s">
        <v>16</v>
      </c>
      <c r="AB40" s="94" t="s">
        <v>606</v>
      </c>
      <c r="AC40" s="11" t="s">
        <v>16</v>
      </c>
      <c r="AD40" s="11" t="s">
        <v>16</v>
      </c>
      <c r="AE40" s="11" t="s">
        <v>16</v>
      </c>
    </row>
    <row r="41" spans="1:31" s="173" customFormat="1">
      <c r="A41" s="1">
        <v>2091</v>
      </c>
      <c r="B41" s="2" t="s">
        <v>23</v>
      </c>
      <c r="C41" s="3" t="s">
        <v>23</v>
      </c>
      <c r="D41" s="4" t="s">
        <v>99</v>
      </c>
      <c r="E41" s="2" t="s">
        <v>100</v>
      </c>
      <c r="F41" s="2" t="s">
        <v>329</v>
      </c>
      <c r="G41" s="2" t="s">
        <v>600</v>
      </c>
      <c r="H41" s="2" t="s">
        <v>601</v>
      </c>
      <c r="I41" s="2" t="s">
        <v>602</v>
      </c>
      <c r="J41" s="63">
        <v>1.43</v>
      </c>
      <c r="K41" s="36" t="s">
        <v>13</v>
      </c>
      <c r="L41" s="28">
        <v>1.4999999999999999E-2</v>
      </c>
      <c r="M41" s="67" t="s">
        <v>611</v>
      </c>
      <c r="N41" s="37" t="s">
        <v>16</v>
      </c>
      <c r="O41" s="6" t="s">
        <v>16</v>
      </c>
      <c r="P41" s="81" t="s">
        <v>16</v>
      </c>
      <c r="Q41" s="73" t="s">
        <v>16</v>
      </c>
      <c r="R41" s="26" t="s">
        <v>16</v>
      </c>
      <c r="S41" s="90" t="s">
        <v>16</v>
      </c>
      <c r="T41" s="84" t="s">
        <v>16</v>
      </c>
      <c r="U41" s="27" t="s">
        <v>16</v>
      </c>
      <c r="V41" s="100" t="s">
        <v>16</v>
      </c>
      <c r="W41" s="94" t="s">
        <v>604</v>
      </c>
      <c r="X41" s="10" t="s">
        <v>605</v>
      </c>
      <c r="Y41" s="11" t="s">
        <v>16</v>
      </c>
      <c r="Z41" s="11" t="s">
        <v>16</v>
      </c>
      <c r="AA41" s="105" t="s">
        <v>16</v>
      </c>
      <c r="AB41" s="94" t="s">
        <v>606</v>
      </c>
      <c r="AC41" s="11" t="s">
        <v>16</v>
      </c>
      <c r="AD41" s="11" t="s">
        <v>16</v>
      </c>
      <c r="AE41" s="11" t="s">
        <v>16</v>
      </c>
    </row>
    <row r="42" spans="1:31" s="173" customFormat="1">
      <c r="A42" s="1">
        <v>2108</v>
      </c>
      <c r="B42" s="17" t="s">
        <v>26</v>
      </c>
      <c r="C42" s="3" t="s">
        <v>26</v>
      </c>
      <c r="D42" s="4" t="s">
        <v>99</v>
      </c>
      <c r="E42" s="2" t="s">
        <v>92</v>
      </c>
      <c r="F42" s="2" t="s">
        <v>113</v>
      </c>
      <c r="G42" s="2" t="s">
        <v>162</v>
      </c>
      <c r="H42" s="2" t="s">
        <v>163</v>
      </c>
      <c r="I42" s="2" t="s">
        <v>164</v>
      </c>
      <c r="J42" s="60">
        <v>27</v>
      </c>
      <c r="K42" s="56" t="s">
        <v>13</v>
      </c>
      <c r="L42" s="13">
        <v>3.5999999999999999E-3</v>
      </c>
      <c r="M42" s="67" t="s">
        <v>165</v>
      </c>
      <c r="N42" s="64" t="s">
        <v>16</v>
      </c>
      <c r="O42" s="6" t="s">
        <v>16</v>
      </c>
      <c r="P42" s="76" t="s">
        <v>16</v>
      </c>
      <c r="Q42" s="71" t="s">
        <v>11</v>
      </c>
      <c r="R42" s="50" t="s">
        <v>93</v>
      </c>
      <c r="S42" s="87" t="s">
        <v>166</v>
      </c>
      <c r="T42" s="82" t="s">
        <v>16</v>
      </c>
      <c r="U42" s="49" t="s">
        <v>16</v>
      </c>
      <c r="V42" s="97" t="s">
        <v>16</v>
      </c>
      <c r="W42" s="94" t="s">
        <v>167</v>
      </c>
      <c r="X42" s="10" t="s">
        <v>168</v>
      </c>
      <c r="Y42" s="11" t="s">
        <v>16</v>
      </c>
      <c r="Z42" s="11" t="s">
        <v>16</v>
      </c>
      <c r="AA42" s="105" t="s">
        <v>16</v>
      </c>
      <c r="AB42" s="94" t="s">
        <v>169</v>
      </c>
      <c r="AC42" s="10" t="s">
        <v>170</v>
      </c>
      <c r="AD42" s="10"/>
      <c r="AE42" s="11" t="s">
        <v>16</v>
      </c>
    </row>
    <row r="43" spans="1:31" s="173" customFormat="1">
      <c r="A43" s="1">
        <v>2109</v>
      </c>
      <c r="B43" s="17" t="s">
        <v>26</v>
      </c>
      <c r="C43" s="3" t="s">
        <v>26</v>
      </c>
      <c r="D43" s="4" t="s">
        <v>99</v>
      </c>
      <c r="E43" s="2" t="s">
        <v>92</v>
      </c>
      <c r="F43" s="2" t="s">
        <v>113</v>
      </c>
      <c r="G43" s="2" t="s">
        <v>162</v>
      </c>
      <c r="H43" s="2" t="s">
        <v>163</v>
      </c>
      <c r="I43" s="2" t="s">
        <v>164</v>
      </c>
      <c r="J43" s="60">
        <v>27</v>
      </c>
      <c r="K43" s="56" t="s">
        <v>13</v>
      </c>
      <c r="L43" s="13">
        <v>3.5999999999999999E-3</v>
      </c>
      <c r="M43" s="67" t="s">
        <v>165</v>
      </c>
      <c r="N43" s="64" t="s">
        <v>16</v>
      </c>
      <c r="O43" s="6" t="s">
        <v>16</v>
      </c>
      <c r="P43" s="76" t="s">
        <v>16</v>
      </c>
      <c r="Q43" s="71" t="s">
        <v>11</v>
      </c>
      <c r="R43" s="50" t="s">
        <v>93</v>
      </c>
      <c r="S43" s="87" t="s">
        <v>166</v>
      </c>
      <c r="T43" s="82" t="s">
        <v>16</v>
      </c>
      <c r="U43" s="49" t="s">
        <v>16</v>
      </c>
      <c r="V43" s="97" t="s">
        <v>16</v>
      </c>
      <c r="W43" s="94" t="s">
        <v>167</v>
      </c>
      <c r="X43" s="10" t="s">
        <v>168</v>
      </c>
      <c r="Y43" s="11" t="s">
        <v>16</v>
      </c>
      <c r="Z43" s="11" t="s">
        <v>16</v>
      </c>
      <c r="AA43" s="105" t="s">
        <v>16</v>
      </c>
      <c r="AB43" s="94" t="s">
        <v>169</v>
      </c>
      <c r="AC43" s="10" t="s">
        <v>170</v>
      </c>
      <c r="AD43" s="10"/>
      <c r="AE43" s="11" t="s">
        <v>16</v>
      </c>
    </row>
    <row r="44" spans="1:31" s="173" customFormat="1">
      <c r="A44" s="1">
        <v>2111</v>
      </c>
      <c r="B44" s="17" t="s">
        <v>26</v>
      </c>
      <c r="C44" s="3" t="s">
        <v>26</v>
      </c>
      <c r="D44" s="4" t="s">
        <v>99</v>
      </c>
      <c r="E44" s="2" t="s">
        <v>92</v>
      </c>
      <c r="F44" s="2" t="s">
        <v>113</v>
      </c>
      <c r="G44" s="2" t="s">
        <v>162</v>
      </c>
      <c r="H44" s="2" t="s">
        <v>163</v>
      </c>
      <c r="I44" s="2" t="s">
        <v>164</v>
      </c>
      <c r="J44" s="60">
        <v>27</v>
      </c>
      <c r="K44" s="56" t="s">
        <v>13</v>
      </c>
      <c r="L44" s="13">
        <v>3.5999999999999999E-3</v>
      </c>
      <c r="M44" s="67" t="s">
        <v>165</v>
      </c>
      <c r="N44" s="64" t="s">
        <v>16</v>
      </c>
      <c r="O44" s="6" t="s">
        <v>16</v>
      </c>
      <c r="P44" s="76" t="s">
        <v>16</v>
      </c>
      <c r="Q44" s="71" t="s">
        <v>11</v>
      </c>
      <c r="R44" s="50" t="s">
        <v>93</v>
      </c>
      <c r="S44" s="87" t="s">
        <v>166</v>
      </c>
      <c r="T44" s="82" t="s">
        <v>16</v>
      </c>
      <c r="U44" s="49" t="s">
        <v>16</v>
      </c>
      <c r="V44" s="97" t="s">
        <v>16</v>
      </c>
      <c r="W44" s="94" t="s">
        <v>167</v>
      </c>
      <c r="X44" s="10" t="s">
        <v>168</v>
      </c>
      <c r="Y44" s="11" t="s">
        <v>16</v>
      </c>
      <c r="Z44" s="11" t="s">
        <v>16</v>
      </c>
      <c r="AA44" s="105" t="s">
        <v>16</v>
      </c>
      <c r="AB44" s="94" t="s">
        <v>169</v>
      </c>
      <c r="AC44" s="10" t="s">
        <v>170</v>
      </c>
      <c r="AD44" s="10"/>
      <c r="AE44" s="10"/>
    </row>
    <row r="45" spans="1:31" s="173" customFormat="1">
      <c r="A45" s="1">
        <v>2112</v>
      </c>
      <c r="B45" s="17" t="s">
        <v>26</v>
      </c>
      <c r="C45" s="3" t="s">
        <v>26</v>
      </c>
      <c r="D45" s="4" t="s">
        <v>99</v>
      </c>
      <c r="E45" s="2" t="s">
        <v>92</v>
      </c>
      <c r="F45" s="2" t="s">
        <v>113</v>
      </c>
      <c r="G45" s="2" t="s">
        <v>162</v>
      </c>
      <c r="H45" s="2" t="s">
        <v>163</v>
      </c>
      <c r="I45" s="2" t="s">
        <v>164</v>
      </c>
      <c r="J45" s="60">
        <v>27</v>
      </c>
      <c r="K45" s="56" t="s">
        <v>13</v>
      </c>
      <c r="L45" s="13">
        <v>3.5999999999999999E-3</v>
      </c>
      <c r="M45" s="67" t="s">
        <v>165</v>
      </c>
      <c r="N45" s="64" t="s">
        <v>16</v>
      </c>
      <c r="O45" s="6" t="s">
        <v>16</v>
      </c>
      <c r="P45" s="76" t="s">
        <v>16</v>
      </c>
      <c r="Q45" s="71" t="s">
        <v>11</v>
      </c>
      <c r="R45" s="50" t="s">
        <v>93</v>
      </c>
      <c r="S45" s="87" t="s">
        <v>166</v>
      </c>
      <c r="T45" s="82" t="s">
        <v>16</v>
      </c>
      <c r="U45" s="49" t="s">
        <v>16</v>
      </c>
      <c r="V45" s="97" t="s">
        <v>16</v>
      </c>
      <c r="W45" s="94" t="s">
        <v>167</v>
      </c>
      <c r="X45" s="10" t="s">
        <v>168</v>
      </c>
      <c r="Y45" s="11" t="s">
        <v>16</v>
      </c>
      <c r="Z45" s="11" t="s">
        <v>16</v>
      </c>
      <c r="AA45" s="105" t="s">
        <v>16</v>
      </c>
      <c r="AB45" s="94" t="s">
        <v>169</v>
      </c>
      <c r="AC45" s="10" t="s">
        <v>170</v>
      </c>
      <c r="AD45" s="10"/>
      <c r="AE45" s="10"/>
    </row>
    <row r="46" spans="1:31" s="173" customFormat="1">
      <c r="A46" s="1">
        <v>2113</v>
      </c>
      <c r="B46" s="17" t="s">
        <v>26</v>
      </c>
      <c r="C46" s="3" t="s">
        <v>26</v>
      </c>
      <c r="D46" s="4" t="s">
        <v>99</v>
      </c>
      <c r="E46" s="2" t="s">
        <v>92</v>
      </c>
      <c r="F46" s="2" t="s">
        <v>113</v>
      </c>
      <c r="G46" s="2" t="s">
        <v>162</v>
      </c>
      <c r="H46" s="2" t="s">
        <v>163</v>
      </c>
      <c r="I46" s="2" t="s">
        <v>164</v>
      </c>
      <c r="J46" s="60">
        <v>27</v>
      </c>
      <c r="K46" s="56" t="s">
        <v>13</v>
      </c>
      <c r="L46" s="13">
        <v>3.5999999999999999E-3</v>
      </c>
      <c r="M46" s="67" t="s">
        <v>171</v>
      </c>
      <c r="N46" s="64" t="s">
        <v>16</v>
      </c>
      <c r="O46" s="6" t="s">
        <v>16</v>
      </c>
      <c r="P46" s="76" t="s">
        <v>16</v>
      </c>
      <c r="Q46" s="71" t="s">
        <v>11</v>
      </c>
      <c r="R46" s="50" t="s">
        <v>93</v>
      </c>
      <c r="S46" s="87" t="s">
        <v>166</v>
      </c>
      <c r="T46" s="82" t="s">
        <v>16</v>
      </c>
      <c r="U46" s="49" t="s">
        <v>16</v>
      </c>
      <c r="V46" s="97" t="s">
        <v>16</v>
      </c>
      <c r="W46" s="94" t="s">
        <v>167</v>
      </c>
      <c r="X46" s="10" t="s">
        <v>168</v>
      </c>
      <c r="Y46" s="11" t="s">
        <v>16</v>
      </c>
      <c r="Z46" s="11" t="s">
        <v>16</v>
      </c>
      <c r="AA46" s="105" t="s">
        <v>16</v>
      </c>
      <c r="AB46" s="94" t="s">
        <v>169</v>
      </c>
      <c r="AC46" s="10" t="s">
        <v>170</v>
      </c>
      <c r="AD46" s="10"/>
      <c r="AE46" s="10"/>
    </row>
    <row r="47" spans="1:31" s="173" customFormat="1">
      <c r="A47" s="1">
        <v>2118</v>
      </c>
      <c r="B47" s="2" t="s">
        <v>276</v>
      </c>
      <c r="C47" s="3" t="s">
        <v>276</v>
      </c>
      <c r="D47" s="175" t="s">
        <v>617</v>
      </c>
      <c r="E47" s="2" t="s">
        <v>16</v>
      </c>
      <c r="F47" s="44" t="s">
        <v>93</v>
      </c>
      <c r="G47" s="17" t="s">
        <v>277</v>
      </c>
      <c r="H47" s="17" t="s">
        <v>278</v>
      </c>
      <c r="I47" s="2" t="s">
        <v>93</v>
      </c>
      <c r="J47" s="59" t="s">
        <v>93</v>
      </c>
      <c r="K47" s="36" t="s">
        <v>16</v>
      </c>
      <c r="L47" s="5" t="s">
        <v>93</v>
      </c>
      <c r="M47" s="66" t="s">
        <v>93</v>
      </c>
      <c r="N47" s="64" t="s">
        <v>16</v>
      </c>
      <c r="O47" s="6" t="s">
        <v>16</v>
      </c>
      <c r="P47" s="76" t="s">
        <v>16</v>
      </c>
      <c r="Q47" s="71" t="s">
        <v>16</v>
      </c>
      <c r="R47" s="8" t="s">
        <v>16</v>
      </c>
      <c r="S47" s="87" t="s">
        <v>16</v>
      </c>
      <c r="T47" s="82" t="s">
        <v>16</v>
      </c>
      <c r="U47" s="49" t="s">
        <v>16</v>
      </c>
      <c r="V47" s="97" t="s">
        <v>16</v>
      </c>
      <c r="W47" s="94" t="s">
        <v>93</v>
      </c>
      <c r="X47" s="11" t="s">
        <v>16</v>
      </c>
      <c r="Y47" s="11" t="s">
        <v>16</v>
      </c>
      <c r="Z47" s="11" t="s">
        <v>16</v>
      </c>
      <c r="AA47" s="107" t="s">
        <v>16</v>
      </c>
      <c r="AB47" s="94"/>
      <c r="AC47" s="10"/>
      <c r="AD47" s="10"/>
      <c r="AE47" s="10"/>
    </row>
    <row r="48" spans="1:31" s="173" customFormat="1">
      <c r="A48" s="1">
        <v>2130</v>
      </c>
      <c r="B48" s="2" t="s">
        <v>247</v>
      </c>
      <c r="C48" s="3" t="s">
        <v>247</v>
      </c>
      <c r="D48" s="175" t="s">
        <v>618</v>
      </c>
      <c r="E48" s="2" t="s">
        <v>92</v>
      </c>
      <c r="F48" s="44" t="s">
        <v>93</v>
      </c>
      <c r="G48" s="17" t="s">
        <v>248</v>
      </c>
      <c r="H48" s="17" t="s">
        <v>249</v>
      </c>
      <c r="I48" s="2" t="s">
        <v>250</v>
      </c>
      <c r="J48" s="59" t="s">
        <v>93</v>
      </c>
      <c r="K48" s="36" t="s">
        <v>13</v>
      </c>
      <c r="L48" s="42" t="s">
        <v>93</v>
      </c>
      <c r="M48" s="67" t="s">
        <v>93</v>
      </c>
      <c r="N48" s="37" t="s">
        <v>16</v>
      </c>
      <c r="O48" s="7" t="s">
        <v>16</v>
      </c>
      <c r="P48" s="80" t="s">
        <v>16</v>
      </c>
      <c r="Q48" s="73" t="s">
        <v>11</v>
      </c>
      <c r="R48" s="26" t="s">
        <v>93</v>
      </c>
      <c r="S48" s="87" t="s">
        <v>93</v>
      </c>
      <c r="T48" s="84" t="s">
        <v>108</v>
      </c>
      <c r="U48" s="49" t="s">
        <v>93</v>
      </c>
      <c r="V48" s="101" t="s">
        <v>93</v>
      </c>
      <c r="W48" s="94" t="s">
        <v>251</v>
      </c>
      <c r="X48" s="10"/>
      <c r="Y48" s="10"/>
      <c r="Z48" s="10"/>
      <c r="AA48" s="54"/>
      <c r="AB48" s="94" t="s">
        <v>252</v>
      </c>
      <c r="AC48" s="10"/>
      <c r="AD48" s="10"/>
      <c r="AE48" s="10"/>
    </row>
    <row r="49" spans="1:31" s="173" customFormat="1">
      <c r="A49" s="1">
        <v>2132</v>
      </c>
      <c r="B49" s="2" t="s">
        <v>27</v>
      </c>
      <c r="C49" s="3" t="s">
        <v>27</v>
      </c>
      <c r="D49" s="4" t="s">
        <v>99</v>
      </c>
      <c r="E49" s="2" t="s">
        <v>92</v>
      </c>
      <c r="F49" s="2" t="s">
        <v>210</v>
      </c>
      <c r="G49" s="2" t="s">
        <v>287</v>
      </c>
      <c r="H49" s="2" t="s">
        <v>288</v>
      </c>
      <c r="I49" s="2" t="s">
        <v>213</v>
      </c>
      <c r="J49" s="60">
        <v>4</v>
      </c>
      <c r="K49" s="56" t="s">
        <v>28</v>
      </c>
      <c r="L49" s="13">
        <v>0.27400000000000002</v>
      </c>
      <c r="M49" s="67" t="s">
        <v>289</v>
      </c>
      <c r="N49" s="64" t="s">
        <v>16</v>
      </c>
      <c r="O49" s="6" t="s">
        <v>16</v>
      </c>
      <c r="P49" s="76" t="s">
        <v>16</v>
      </c>
      <c r="Q49" s="71" t="s">
        <v>16</v>
      </c>
      <c r="R49" s="8" t="s">
        <v>16</v>
      </c>
      <c r="S49" s="87" t="s">
        <v>16</v>
      </c>
      <c r="T49" s="82" t="s">
        <v>16</v>
      </c>
      <c r="U49" s="49" t="s">
        <v>16</v>
      </c>
      <c r="V49" s="97" t="s">
        <v>16</v>
      </c>
      <c r="W49" s="94" t="s">
        <v>216</v>
      </c>
      <c r="X49" s="11" t="s">
        <v>16</v>
      </c>
      <c r="Y49" s="11" t="s">
        <v>16</v>
      </c>
      <c r="Z49" s="11" t="s">
        <v>16</v>
      </c>
      <c r="AA49" s="105" t="s">
        <v>16</v>
      </c>
      <c r="AB49" s="104" t="s">
        <v>290</v>
      </c>
      <c r="AC49" s="10" t="s">
        <v>291</v>
      </c>
      <c r="AD49" s="10" t="s">
        <v>292</v>
      </c>
      <c r="AE49" s="10" t="s">
        <v>192</v>
      </c>
    </row>
    <row r="50" spans="1:31" s="173" customFormat="1">
      <c r="A50" s="1">
        <v>2153</v>
      </c>
      <c r="B50" s="2" t="s">
        <v>485</v>
      </c>
      <c r="C50" s="3" t="s">
        <v>485</v>
      </c>
      <c r="D50" s="4" t="s">
        <v>486</v>
      </c>
      <c r="E50" s="34" t="s">
        <v>92</v>
      </c>
      <c r="F50" s="51" t="s">
        <v>93</v>
      </c>
      <c r="G50" s="17" t="s">
        <v>487</v>
      </c>
      <c r="H50" s="17" t="s">
        <v>488</v>
      </c>
      <c r="I50" s="35" t="s">
        <v>489</v>
      </c>
      <c r="J50" s="62" t="s">
        <v>93</v>
      </c>
      <c r="K50" s="36" t="s">
        <v>28</v>
      </c>
      <c r="L50" s="43" t="s">
        <v>93</v>
      </c>
      <c r="M50" s="67" t="s">
        <v>93</v>
      </c>
      <c r="N50" s="64" t="s">
        <v>16</v>
      </c>
      <c r="O50" s="6" t="s">
        <v>16</v>
      </c>
      <c r="P50" s="81" t="s">
        <v>16</v>
      </c>
      <c r="Q50" s="71" t="s">
        <v>16</v>
      </c>
      <c r="R50" s="8" t="s">
        <v>16</v>
      </c>
      <c r="S50" s="91" t="s">
        <v>16</v>
      </c>
      <c r="T50" s="82" t="s">
        <v>16</v>
      </c>
      <c r="U50" s="9" t="s">
        <v>16</v>
      </c>
      <c r="V50" s="102" t="s">
        <v>16</v>
      </c>
      <c r="W50" s="94" t="s">
        <v>216</v>
      </c>
      <c r="X50" s="11" t="s">
        <v>16</v>
      </c>
      <c r="Y50" s="11" t="s">
        <v>16</v>
      </c>
      <c r="Z50" s="11" t="s">
        <v>16</v>
      </c>
      <c r="AA50" s="105" t="s">
        <v>16</v>
      </c>
      <c r="AB50" s="94" t="s">
        <v>490</v>
      </c>
      <c r="AC50" s="10" t="s">
        <v>491</v>
      </c>
      <c r="AD50" s="10"/>
      <c r="AE50" s="10"/>
    </row>
    <row r="51" spans="1:31" s="173" customFormat="1">
      <c r="A51" s="1">
        <v>2164</v>
      </c>
      <c r="B51" s="2" t="s">
        <v>501</v>
      </c>
      <c r="C51" s="3" t="s">
        <v>613</v>
      </c>
      <c r="D51" s="175" t="s">
        <v>617</v>
      </c>
      <c r="E51" s="51" t="s">
        <v>93</v>
      </c>
      <c r="F51" s="51" t="s">
        <v>93</v>
      </c>
      <c r="G51" s="2" t="s">
        <v>16</v>
      </c>
      <c r="H51" s="2" t="s">
        <v>16</v>
      </c>
      <c r="I51" s="51" t="s">
        <v>93</v>
      </c>
      <c r="J51" s="62" t="s">
        <v>93</v>
      </c>
      <c r="K51" s="58" t="s">
        <v>93</v>
      </c>
      <c r="L51" s="42" t="s">
        <v>93</v>
      </c>
      <c r="M51" s="67" t="s">
        <v>93</v>
      </c>
      <c r="N51" s="64" t="s">
        <v>16</v>
      </c>
      <c r="O51" s="6" t="s">
        <v>16</v>
      </c>
      <c r="P51" s="81" t="s">
        <v>16</v>
      </c>
      <c r="Q51" s="73" t="s">
        <v>16</v>
      </c>
      <c r="R51" s="26" t="s">
        <v>16</v>
      </c>
      <c r="S51" s="92" t="s">
        <v>16</v>
      </c>
      <c r="T51" s="84" t="s">
        <v>16</v>
      </c>
      <c r="U51" s="27" t="s">
        <v>16</v>
      </c>
      <c r="V51" s="103" t="s">
        <v>16</v>
      </c>
      <c r="W51" s="33" t="s">
        <v>93</v>
      </c>
      <c r="X51" s="11" t="s">
        <v>16</v>
      </c>
      <c r="Y51" s="11" t="s">
        <v>16</v>
      </c>
      <c r="Z51" s="11" t="s">
        <v>16</v>
      </c>
      <c r="AA51" s="105" t="s">
        <v>16</v>
      </c>
      <c r="AB51" s="94" t="s">
        <v>16</v>
      </c>
      <c r="AC51" s="10" t="s">
        <v>16</v>
      </c>
      <c r="AD51" s="10" t="s">
        <v>16</v>
      </c>
      <c r="AE51" s="10" t="s">
        <v>16</v>
      </c>
    </row>
    <row r="52" spans="1:31" s="173" customFormat="1">
      <c r="A52" s="1">
        <v>2165</v>
      </c>
      <c r="B52" s="2" t="s">
        <v>501</v>
      </c>
      <c r="C52" s="3" t="s">
        <v>613</v>
      </c>
      <c r="D52" s="175" t="s">
        <v>617</v>
      </c>
      <c r="E52" s="51" t="s">
        <v>93</v>
      </c>
      <c r="F52" s="51" t="s">
        <v>93</v>
      </c>
      <c r="G52" s="2" t="s">
        <v>16</v>
      </c>
      <c r="H52" s="2" t="s">
        <v>16</v>
      </c>
      <c r="I52" s="51" t="s">
        <v>93</v>
      </c>
      <c r="J52" s="62" t="s">
        <v>93</v>
      </c>
      <c r="K52" s="58" t="s">
        <v>93</v>
      </c>
      <c r="L52" s="42" t="s">
        <v>93</v>
      </c>
      <c r="M52" s="67" t="s">
        <v>93</v>
      </c>
      <c r="N52" s="64" t="s">
        <v>16</v>
      </c>
      <c r="O52" s="6" t="s">
        <v>16</v>
      </c>
      <c r="P52" s="81" t="s">
        <v>16</v>
      </c>
      <c r="Q52" s="73" t="s">
        <v>16</v>
      </c>
      <c r="R52" s="26" t="s">
        <v>16</v>
      </c>
      <c r="S52" s="92" t="s">
        <v>16</v>
      </c>
      <c r="T52" s="84" t="s">
        <v>16</v>
      </c>
      <c r="U52" s="27" t="s">
        <v>16</v>
      </c>
      <c r="V52" s="103" t="s">
        <v>16</v>
      </c>
      <c r="W52" s="33" t="s">
        <v>93</v>
      </c>
      <c r="X52" s="11" t="s">
        <v>16</v>
      </c>
      <c r="Y52" s="11" t="s">
        <v>16</v>
      </c>
      <c r="Z52" s="11" t="s">
        <v>16</v>
      </c>
      <c r="AA52" s="105" t="s">
        <v>16</v>
      </c>
      <c r="AB52" s="94" t="s">
        <v>16</v>
      </c>
      <c r="AC52" s="10" t="s">
        <v>16</v>
      </c>
      <c r="AD52" s="10" t="s">
        <v>16</v>
      </c>
      <c r="AE52" s="10" t="s">
        <v>16</v>
      </c>
    </row>
    <row r="53" spans="1:31" s="173" customFormat="1">
      <c r="A53" s="1">
        <v>2168</v>
      </c>
      <c r="B53" s="2" t="s">
        <v>1</v>
      </c>
      <c r="C53" s="3" t="s">
        <v>1</v>
      </c>
      <c r="D53" s="4" t="s">
        <v>99</v>
      </c>
      <c r="E53" s="2" t="s">
        <v>92</v>
      </c>
      <c r="F53" s="2" t="s">
        <v>357</v>
      </c>
      <c r="G53" s="2" t="s">
        <v>358</v>
      </c>
      <c r="H53" s="2" t="s">
        <v>359</v>
      </c>
      <c r="I53" s="2" t="s">
        <v>213</v>
      </c>
      <c r="J53" s="60">
        <v>10.3</v>
      </c>
      <c r="K53" s="56" t="s">
        <v>28</v>
      </c>
      <c r="L53" s="13">
        <v>0.34200000000000003</v>
      </c>
      <c r="M53" s="67" t="s">
        <v>360</v>
      </c>
      <c r="N53" s="64" t="s">
        <v>16</v>
      </c>
      <c r="O53" s="47" t="s">
        <v>16</v>
      </c>
      <c r="P53" s="76" t="s">
        <v>16</v>
      </c>
      <c r="Q53" s="71" t="s">
        <v>16</v>
      </c>
      <c r="R53" s="50" t="s">
        <v>16</v>
      </c>
      <c r="S53" s="87" t="s">
        <v>16</v>
      </c>
      <c r="T53" s="85" t="s">
        <v>16</v>
      </c>
      <c r="U53" s="49" t="s">
        <v>16</v>
      </c>
      <c r="V53" s="97" t="s">
        <v>16</v>
      </c>
      <c r="W53" s="94" t="s">
        <v>361</v>
      </c>
      <c r="X53" s="10" t="s">
        <v>362</v>
      </c>
      <c r="Y53" s="10" t="s">
        <v>363</v>
      </c>
      <c r="Z53" s="11" t="s">
        <v>16</v>
      </c>
      <c r="AA53" s="107" t="s">
        <v>16</v>
      </c>
      <c r="AB53" s="94" t="s">
        <v>290</v>
      </c>
      <c r="AC53" s="10"/>
      <c r="AD53" s="10"/>
      <c r="AE53" s="10"/>
    </row>
    <row r="54" spans="1:31" s="173" customFormat="1">
      <c r="A54" s="1">
        <v>2169</v>
      </c>
      <c r="B54" s="2" t="s">
        <v>1</v>
      </c>
      <c r="C54" s="3" t="s">
        <v>1</v>
      </c>
      <c r="D54" s="4" t="s">
        <v>99</v>
      </c>
      <c r="E54" s="2" t="s">
        <v>92</v>
      </c>
      <c r="F54" s="2" t="s">
        <v>357</v>
      </c>
      <c r="G54" s="2" t="s">
        <v>358</v>
      </c>
      <c r="H54" s="2" t="s">
        <v>359</v>
      </c>
      <c r="I54" s="2" t="s">
        <v>213</v>
      </c>
      <c r="J54" s="60">
        <v>10.3</v>
      </c>
      <c r="K54" s="56" t="s">
        <v>28</v>
      </c>
      <c r="L54" s="13">
        <v>0.34200000000000003</v>
      </c>
      <c r="M54" s="67" t="s">
        <v>364</v>
      </c>
      <c r="N54" s="64" t="s">
        <v>16</v>
      </c>
      <c r="O54" s="47" t="s">
        <v>16</v>
      </c>
      <c r="P54" s="76" t="s">
        <v>16</v>
      </c>
      <c r="Q54" s="71" t="s">
        <v>16</v>
      </c>
      <c r="R54" s="50" t="s">
        <v>16</v>
      </c>
      <c r="S54" s="87" t="s">
        <v>16</v>
      </c>
      <c r="T54" s="85" t="s">
        <v>16</v>
      </c>
      <c r="U54" s="49" t="s">
        <v>16</v>
      </c>
      <c r="V54" s="97" t="s">
        <v>16</v>
      </c>
      <c r="W54" s="94" t="s">
        <v>361</v>
      </c>
      <c r="X54" s="10" t="s">
        <v>362</v>
      </c>
      <c r="Y54" s="10" t="s">
        <v>363</v>
      </c>
      <c r="Z54" s="11" t="s">
        <v>16</v>
      </c>
      <c r="AA54" s="107" t="s">
        <v>16</v>
      </c>
      <c r="AB54" s="94" t="s">
        <v>290</v>
      </c>
      <c r="AC54" s="10"/>
      <c r="AD54" s="10"/>
      <c r="AE54" s="10"/>
    </row>
    <row r="55" spans="1:31" s="173" customFormat="1">
      <c r="A55" s="1">
        <v>2171</v>
      </c>
      <c r="B55" s="2" t="s">
        <v>29</v>
      </c>
      <c r="C55" s="3" t="s">
        <v>29</v>
      </c>
      <c r="D55" s="4" t="s">
        <v>99</v>
      </c>
      <c r="E55" s="2" t="s">
        <v>92</v>
      </c>
      <c r="F55" s="2" t="s">
        <v>113</v>
      </c>
      <c r="G55" s="2" t="s">
        <v>172</v>
      </c>
      <c r="H55" s="2" t="s">
        <v>173</v>
      </c>
      <c r="I55" s="24" t="s">
        <v>174</v>
      </c>
      <c r="J55" s="62" t="s">
        <v>93</v>
      </c>
      <c r="K55" s="56" t="s">
        <v>13</v>
      </c>
      <c r="L55" s="43" t="s">
        <v>93</v>
      </c>
      <c r="M55" s="67" t="s">
        <v>175</v>
      </c>
      <c r="N55" s="64" t="s">
        <v>106</v>
      </c>
      <c r="O55" s="47" t="s">
        <v>93</v>
      </c>
      <c r="P55" s="76" t="s">
        <v>176</v>
      </c>
      <c r="Q55" s="71" t="s">
        <v>11</v>
      </c>
      <c r="R55" s="50" t="s">
        <v>93</v>
      </c>
      <c r="S55" s="89" t="s">
        <v>93</v>
      </c>
      <c r="T55" s="82" t="s">
        <v>16</v>
      </c>
      <c r="U55" s="49" t="s">
        <v>16</v>
      </c>
      <c r="V55" s="97" t="s">
        <v>16</v>
      </c>
      <c r="W55" s="94" t="s">
        <v>177</v>
      </c>
      <c r="X55" s="10" t="s">
        <v>16</v>
      </c>
      <c r="Y55" s="11" t="s">
        <v>16</v>
      </c>
      <c r="Z55" s="11" t="s">
        <v>16</v>
      </c>
      <c r="AA55" s="105" t="s">
        <v>16</v>
      </c>
      <c r="AB55" s="94" t="s">
        <v>178</v>
      </c>
      <c r="AC55" s="10"/>
      <c r="AD55" s="10"/>
      <c r="AE55" s="10"/>
    </row>
    <row r="56" spans="1:31" s="173" customFormat="1">
      <c r="A56" s="1">
        <v>2173</v>
      </c>
      <c r="B56" s="2" t="s">
        <v>29</v>
      </c>
      <c r="C56" s="3" t="s">
        <v>29</v>
      </c>
      <c r="D56" s="4" t="s">
        <v>99</v>
      </c>
      <c r="E56" s="2" t="s">
        <v>92</v>
      </c>
      <c r="F56" s="2" t="s">
        <v>113</v>
      </c>
      <c r="G56" s="2" t="s">
        <v>172</v>
      </c>
      <c r="H56" s="2" t="s">
        <v>173</v>
      </c>
      <c r="I56" s="24" t="s">
        <v>174</v>
      </c>
      <c r="J56" s="62" t="s">
        <v>93</v>
      </c>
      <c r="K56" s="56" t="s">
        <v>13</v>
      </c>
      <c r="L56" s="43" t="s">
        <v>93</v>
      </c>
      <c r="M56" s="67" t="s">
        <v>175</v>
      </c>
      <c r="N56" s="64" t="s">
        <v>106</v>
      </c>
      <c r="O56" s="47" t="s">
        <v>93</v>
      </c>
      <c r="P56" s="76" t="s">
        <v>179</v>
      </c>
      <c r="Q56" s="71" t="s">
        <v>11</v>
      </c>
      <c r="R56" s="50" t="s">
        <v>93</v>
      </c>
      <c r="S56" s="89" t="s">
        <v>93</v>
      </c>
      <c r="T56" s="82" t="s">
        <v>16</v>
      </c>
      <c r="U56" s="49" t="s">
        <v>16</v>
      </c>
      <c r="V56" s="97" t="s">
        <v>16</v>
      </c>
      <c r="W56" s="94" t="s">
        <v>177</v>
      </c>
      <c r="X56" s="10" t="s">
        <v>16</v>
      </c>
      <c r="Y56" s="11" t="s">
        <v>16</v>
      </c>
      <c r="Z56" s="11" t="s">
        <v>16</v>
      </c>
      <c r="AA56" s="105" t="s">
        <v>16</v>
      </c>
      <c r="AB56" s="94" t="s">
        <v>178</v>
      </c>
      <c r="AC56" s="10"/>
      <c r="AD56" s="10"/>
      <c r="AE56" s="10"/>
    </row>
    <row r="57" spans="1:31" s="173" customFormat="1">
      <c r="A57" s="1">
        <v>2175</v>
      </c>
      <c r="B57" s="2" t="s">
        <v>503</v>
      </c>
      <c r="C57" s="3" t="s">
        <v>502</v>
      </c>
      <c r="D57" s="175" t="s">
        <v>617</v>
      </c>
      <c r="E57" s="51" t="s">
        <v>93</v>
      </c>
      <c r="F57" s="51" t="s">
        <v>93</v>
      </c>
      <c r="G57" s="17" t="s">
        <v>504</v>
      </c>
      <c r="H57" s="17" t="s">
        <v>505</v>
      </c>
      <c r="I57" s="51" t="s">
        <v>93</v>
      </c>
      <c r="J57" s="62" t="s">
        <v>93</v>
      </c>
      <c r="K57" s="58" t="s">
        <v>93</v>
      </c>
      <c r="L57" s="42" t="s">
        <v>93</v>
      </c>
      <c r="M57" s="67" t="s">
        <v>93</v>
      </c>
      <c r="N57" s="64" t="s">
        <v>16</v>
      </c>
      <c r="O57" s="6" t="s">
        <v>16</v>
      </c>
      <c r="P57" s="81" t="s">
        <v>16</v>
      </c>
      <c r="Q57" s="73" t="s">
        <v>16</v>
      </c>
      <c r="R57" s="26" t="s">
        <v>16</v>
      </c>
      <c r="S57" s="92" t="s">
        <v>16</v>
      </c>
      <c r="T57" s="84" t="s">
        <v>16</v>
      </c>
      <c r="U57" s="27" t="s">
        <v>16</v>
      </c>
      <c r="V57" s="103" t="s">
        <v>16</v>
      </c>
      <c r="W57" s="33" t="s">
        <v>93</v>
      </c>
      <c r="X57" s="11" t="s">
        <v>16</v>
      </c>
      <c r="Y57" s="11" t="s">
        <v>16</v>
      </c>
      <c r="Z57" s="11" t="s">
        <v>16</v>
      </c>
      <c r="AA57" s="105" t="s">
        <v>16</v>
      </c>
      <c r="AB57" s="94"/>
      <c r="AC57" s="10"/>
      <c r="AD57" s="10"/>
      <c r="AE57" s="10"/>
    </row>
    <row r="58" spans="1:31" s="173" customFormat="1">
      <c r="A58" s="1">
        <v>2179</v>
      </c>
      <c r="B58" s="2" t="s">
        <v>30</v>
      </c>
      <c r="C58" s="16" t="s">
        <v>30</v>
      </c>
      <c r="D58" s="4" t="s">
        <v>99</v>
      </c>
      <c r="E58" s="2" t="s">
        <v>100</v>
      </c>
      <c r="F58" s="17" t="s">
        <v>132</v>
      </c>
      <c r="G58" s="17" t="s">
        <v>133</v>
      </c>
      <c r="H58" s="17" t="s">
        <v>134</v>
      </c>
      <c r="I58" s="17" t="s">
        <v>135</v>
      </c>
      <c r="J58" s="61">
        <v>30</v>
      </c>
      <c r="K58" s="57" t="s">
        <v>13</v>
      </c>
      <c r="L58" s="18">
        <v>5.4000000000000003E-3</v>
      </c>
      <c r="M58" s="68" t="s">
        <v>136</v>
      </c>
      <c r="N58" s="65" t="s">
        <v>16</v>
      </c>
      <c r="O58" s="19" t="s">
        <v>16</v>
      </c>
      <c r="P58" s="77" t="s">
        <v>137</v>
      </c>
      <c r="Q58" s="72" t="s">
        <v>11</v>
      </c>
      <c r="R58" s="20" t="s">
        <v>138</v>
      </c>
      <c r="S58" s="88" t="s">
        <v>139</v>
      </c>
      <c r="T58" s="83" t="s">
        <v>108</v>
      </c>
      <c r="U58" s="21" t="s">
        <v>140</v>
      </c>
      <c r="V58" s="99" t="s">
        <v>141</v>
      </c>
      <c r="W58" s="96" t="s">
        <v>142</v>
      </c>
      <c r="X58" s="22" t="s">
        <v>143</v>
      </c>
      <c r="Y58" s="22" t="s">
        <v>144</v>
      </c>
      <c r="Z58" s="23" t="s">
        <v>16</v>
      </c>
      <c r="AA58" s="106" t="s">
        <v>16</v>
      </c>
      <c r="AB58" s="96" t="s">
        <v>145</v>
      </c>
      <c r="AC58" s="22" t="s">
        <v>146</v>
      </c>
      <c r="AD58" s="22" t="s">
        <v>147</v>
      </c>
      <c r="AE58" s="10"/>
    </row>
    <row r="59" spans="1:31" s="173" customFormat="1">
      <c r="A59" s="1">
        <v>2184</v>
      </c>
      <c r="B59" s="2" t="s">
        <v>30</v>
      </c>
      <c r="C59" s="16" t="s">
        <v>30</v>
      </c>
      <c r="D59" s="4" t="s">
        <v>99</v>
      </c>
      <c r="E59" s="2" t="s">
        <v>100</v>
      </c>
      <c r="F59" s="17" t="s">
        <v>132</v>
      </c>
      <c r="G59" s="17" t="s">
        <v>133</v>
      </c>
      <c r="H59" s="17" t="s">
        <v>134</v>
      </c>
      <c r="I59" s="17" t="s">
        <v>135</v>
      </c>
      <c r="J59" s="61">
        <v>30</v>
      </c>
      <c r="K59" s="57" t="s">
        <v>13</v>
      </c>
      <c r="L59" s="18">
        <v>5.4000000000000003E-3</v>
      </c>
      <c r="M59" s="68" t="s">
        <v>136</v>
      </c>
      <c r="N59" s="65" t="s">
        <v>16</v>
      </c>
      <c r="O59" s="19" t="s">
        <v>16</v>
      </c>
      <c r="P59" s="77" t="s">
        <v>137</v>
      </c>
      <c r="Q59" s="72" t="s">
        <v>11</v>
      </c>
      <c r="R59" s="20" t="s">
        <v>138</v>
      </c>
      <c r="S59" s="88" t="s">
        <v>148</v>
      </c>
      <c r="T59" s="83" t="s">
        <v>108</v>
      </c>
      <c r="U59" s="21" t="s">
        <v>140</v>
      </c>
      <c r="V59" s="99" t="s">
        <v>149</v>
      </c>
      <c r="W59" s="96" t="s">
        <v>142</v>
      </c>
      <c r="X59" s="22" t="s">
        <v>143</v>
      </c>
      <c r="Y59" s="22" t="s">
        <v>144</v>
      </c>
      <c r="Z59" s="23" t="s">
        <v>16</v>
      </c>
      <c r="AA59" s="106" t="s">
        <v>16</v>
      </c>
      <c r="AB59" s="96" t="s">
        <v>145</v>
      </c>
      <c r="AC59" s="22" t="s">
        <v>146</v>
      </c>
      <c r="AD59" s="22" t="s">
        <v>147</v>
      </c>
      <c r="AE59" s="10"/>
    </row>
    <row r="60" spans="1:31" s="173" customFormat="1">
      <c r="A60" s="1">
        <v>2185</v>
      </c>
      <c r="B60" s="2" t="s">
        <v>29</v>
      </c>
      <c r="C60" s="3" t="s">
        <v>29</v>
      </c>
      <c r="D60" s="4" t="s">
        <v>99</v>
      </c>
      <c r="E60" s="2" t="s">
        <v>92</v>
      </c>
      <c r="F60" s="2" t="s">
        <v>113</v>
      </c>
      <c r="G60" s="2" t="s">
        <v>172</v>
      </c>
      <c r="H60" s="2" t="s">
        <v>173</v>
      </c>
      <c r="I60" s="24" t="s">
        <v>174</v>
      </c>
      <c r="J60" s="62" t="s">
        <v>93</v>
      </c>
      <c r="K60" s="56" t="s">
        <v>13</v>
      </c>
      <c r="L60" s="43" t="s">
        <v>93</v>
      </c>
      <c r="M60" s="67" t="s">
        <v>175</v>
      </c>
      <c r="N60" s="64" t="s">
        <v>106</v>
      </c>
      <c r="O60" s="47" t="s">
        <v>93</v>
      </c>
      <c r="P60" s="76" t="s">
        <v>180</v>
      </c>
      <c r="Q60" s="71" t="s">
        <v>11</v>
      </c>
      <c r="R60" s="50" t="s">
        <v>93</v>
      </c>
      <c r="S60" s="89" t="s">
        <v>93</v>
      </c>
      <c r="T60" s="82" t="s">
        <v>16</v>
      </c>
      <c r="U60" s="49" t="s">
        <v>16</v>
      </c>
      <c r="V60" s="97" t="s">
        <v>16</v>
      </c>
      <c r="W60" s="94" t="s">
        <v>177</v>
      </c>
      <c r="X60" s="10" t="s">
        <v>16</v>
      </c>
      <c r="Y60" s="11" t="s">
        <v>16</v>
      </c>
      <c r="Z60" s="11" t="s">
        <v>16</v>
      </c>
      <c r="AA60" s="105" t="s">
        <v>16</v>
      </c>
      <c r="AB60" s="94" t="s">
        <v>178</v>
      </c>
      <c r="AC60" s="10"/>
      <c r="AD60" s="10"/>
      <c r="AE60" s="10"/>
    </row>
    <row r="61" spans="1:31" s="173" customFormat="1">
      <c r="A61" s="1">
        <v>2186</v>
      </c>
      <c r="B61" s="2" t="s">
        <v>29</v>
      </c>
      <c r="C61" s="3" t="s">
        <v>29</v>
      </c>
      <c r="D61" s="4" t="s">
        <v>99</v>
      </c>
      <c r="E61" s="2" t="s">
        <v>92</v>
      </c>
      <c r="F61" s="2" t="s">
        <v>113</v>
      </c>
      <c r="G61" s="2" t="s">
        <v>172</v>
      </c>
      <c r="H61" s="2" t="s">
        <v>173</v>
      </c>
      <c r="I61" s="24" t="s">
        <v>174</v>
      </c>
      <c r="J61" s="62" t="s">
        <v>93</v>
      </c>
      <c r="K61" s="56" t="s">
        <v>13</v>
      </c>
      <c r="L61" s="43" t="s">
        <v>93</v>
      </c>
      <c r="M61" s="67" t="s">
        <v>175</v>
      </c>
      <c r="N61" s="64" t="s">
        <v>106</v>
      </c>
      <c r="O61" s="47" t="s">
        <v>93</v>
      </c>
      <c r="P61" s="76" t="s">
        <v>181</v>
      </c>
      <c r="Q61" s="71" t="s">
        <v>11</v>
      </c>
      <c r="R61" s="50" t="s">
        <v>93</v>
      </c>
      <c r="S61" s="89" t="s">
        <v>93</v>
      </c>
      <c r="T61" s="82" t="s">
        <v>16</v>
      </c>
      <c r="U61" s="49" t="s">
        <v>16</v>
      </c>
      <c r="V61" s="97" t="s">
        <v>16</v>
      </c>
      <c r="W61" s="94" t="s">
        <v>177</v>
      </c>
      <c r="X61" s="10" t="s">
        <v>16</v>
      </c>
      <c r="Y61" s="11" t="s">
        <v>16</v>
      </c>
      <c r="Z61" s="11" t="s">
        <v>16</v>
      </c>
      <c r="AA61" s="105" t="s">
        <v>16</v>
      </c>
      <c r="AB61" s="94" t="s">
        <v>178</v>
      </c>
      <c r="AC61" s="10"/>
      <c r="AD61" s="10"/>
      <c r="AE61" s="10"/>
    </row>
    <row r="62" spans="1:31" s="173" customFormat="1">
      <c r="A62" s="1">
        <v>2187</v>
      </c>
      <c r="B62" s="2" t="s">
        <v>29</v>
      </c>
      <c r="C62" s="3" t="s">
        <v>29</v>
      </c>
      <c r="D62" s="4" t="s">
        <v>99</v>
      </c>
      <c r="E62" s="2" t="s">
        <v>92</v>
      </c>
      <c r="F62" s="2" t="s">
        <v>113</v>
      </c>
      <c r="G62" s="2" t="s">
        <v>172</v>
      </c>
      <c r="H62" s="2" t="s">
        <v>173</v>
      </c>
      <c r="I62" s="24" t="s">
        <v>174</v>
      </c>
      <c r="J62" s="62" t="s">
        <v>93</v>
      </c>
      <c r="K62" s="56" t="s">
        <v>13</v>
      </c>
      <c r="L62" s="43" t="s">
        <v>93</v>
      </c>
      <c r="M62" s="67" t="s">
        <v>175</v>
      </c>
      <c r="N62" s="64" t="s">
        <v>106</v>
      </c>
      <c r="O62" s="47" t="s">
        <v>93</v>
      </c>
      <c r="P62" s="76" t="s">
        <v>182</v>
      </c>
      <c r="Q62" s="71" t="s">
        <v>11</v>
      </c>
      <c r="R62" s="50" t="s">
        <v>93</v>
      </c>
      <c r="S62" s="89" t="s">
        <v>93</v>
      </c>
      <c r="T62" s="82" t="s">
        <v>16</v>
      </c>
      <c r="U62" s="49" t="s">
        <v>16</v>
      </c>
      <c r="V62" s="97" t="s">
        <v>16</v>
      </c>
      <c r="W62" s="94" t="s">
        <v>177</v>
      </c>
      <c r="X62" s="10" t="s">
        <v>16</v>
      </c>
      <c r="Y62" s="11" t="s">
        <v>16</v>
      </c>
      <c r="Z62" s="11" t="s">
        <v>16</v>
      </c>
      <c r="AA62" s="105" t="s">
        <v>16</v>
      </c>
      <c r="AB62" s="94" t="s">
        <v>178</v>
      </c>
      <c r="AC62" s="10"/>
      <c r="AD62" s="10"/>
      <c r="AE62" s="10"/>
    </row>
    <row r="63" spans="1:31" s="173" customFormat="1">
      <c r="A63" s="1">
        <v>2193</v>
      </c>
      <c r="B63" s="17" t="s">
        <v>31</v>
      </c>
      <c r="C63" s="3" t="s">
        <v>93</v>
      </c>
      <c r="D63" s="29" t="s">
        <v>93</v>
      </c>
      <c r="E63" s="51" t="s">
        <v>93</v>
      </c>
      <c r="F63" s="2" t="s">
        <v>93</v>
      </c>
      <c r="G63" s="17" t="s">
        <v>573</v>
      </c>
      <c r="H63" s="17" t="s">
        <v>574</v>
      </c>
      <c r="I63" s="2" t="s">
        <v>93</v>
      </c>
      <c r="J63" s="41" t="s">
        <v>93</v>
      </c>
      <c r="K63" s="36" t="s">
        <v>13</v>
      </c>
      <c r="L63" s="42" t="s">
        <v>93</v>
      </c>
      <c r="M63" s="67" t="s">
        <v>93</v>
      </c>
      <c r="N63" s="64" t="s">
        <v>16</v>
      </c>
      <c r="O63" s="6" t="s">
        <v>16</v>
      </c>
      <c r="P63" s="81" t="s">
        <v>16</v>
      </c>
      <c r="Q63" s="73" t="s">
        <v>16</v>
      </c>
      <c r="R63" s="26" t="s">
        <v>16</v>
      </c>
      <c r="S63" s="92" t="s">
        <v>16</v>
      </c>
      <c r="T63" s="82" t="s">
        <v>16</v>
      </c>
      <c r="U63" s="9" t="s">
        <v>16</v>
      </c>
      <c r="V63" s="100" t="s">
        <v>16</v>
      </c>
      <c r="W63" s="33" t="s">
        <v>93</v>
      </c>
      <c r="X63" s="11" t="s">
        <v>16</v>
      </c>
      <c r="Y63" s="11" t="s">
        <v>16</v>
      </c>
      <c r="Z63" s="11" t="s">
        <v>16</v>
      </c>
      <c r="AA63" s="105" t="s">
        <v>16</v>
      </c>
      <c r="AB63" s="94"/>
      <c r="AC63" s="10"/>
      <c r="AD63" s="10"/>
      <c r="AE63" s="10"/>
    </row>
    <row r="64" spans="1:31" s="173" customFormat="1">
      <c r="A64" s="1">
        <v>2194</v>
      </c>
      <c r="B64" s="2" t="s">
        <v>30</v>
      </c>
      <c r="C64" s="3" t="s">
        <v>30</v>
      </c>
      <c r="D64" s="4" t="s">
        <v>99</v>
      </c>
      <c r="E64" s="2" t="s">
        <v>100</v>
      </c>
      <c r="F64" s="2" t="s">
        <v>132</v>
      </c>
      <c r="G64" s="2" t="s">
        <v>133</v>
      </c>
      <c r="H64" s="2" t="s">
        <v>134</v>
      </c>
      <c r="I64" s="2" t="s">
        <v>135</v>
      </c>
      <c r="J64" s="60">
        <v>30</v>
      </c>
      <c r="K64" s="56" t="s">
        <v>13</v>
      </c>
      <c r="L64" s="13">
        <v>5.4000000000000003E-3</v>
      </c>
      <c r="M64" s="67" t="s">
        <v>136</v>
      </c>
      <c r="N64" s="64" t="s">
        <v>16</v>
      </c>
      <c r="O64" s="6" t="s">
        <v>16</v>
      </c>
      <c r="P64" s="76" t="s">
        <v>16</v>
      </c>
      <c r="Q64" s="71" t="s">
        <v>11</v>
      </c>
      <c r="R64" s="8" t="s">
        <v>138</v>
      </c>
      <c r="S64" s="88" t="s">
        <v>150</v>
      </c>
      <c r="T64" s="82" t="s">
        <v>108</v>
      </c>
      <c r="U64" s="49" t="s">
        <v>151</v>
      </c>
      <c r="V64" s="99" t="s">
        <v>152</v>
      </c>
      <c r="W64" s="94" t="s">
        <v>142</v>
      </c>
      <c r="X64" s="10" t="s">
        <v>143</v>
      </c>
      <c r="Y64" s="10" t="s">
        <v>144</v>
      </c>
      <c r="Z64" s="11" t="s">
        <v>16</v>
      </c>
      <c r="AA64" s="105" t="s">
        <v>16</v>
      </c>
      <c r="AB64" s="94" t="s">
        <v>145</v>
      </c>
      <c r="AC64" s="10" t="s">
        <v>146</v>
      </c>
      <c r="AD64" s="10" t="s">
        <v>147</v>
      </c>
      <c r="AE64" s="10"/>
    </row>
    <row r="65" spans="1:31" s="173" customFormat="1">
      <c r="A65" s="1">
        <v>2195</v>
      </c>
      <c r="B65" s="2" t="s">
        <v>30</v>
      </c>
      <c r="C65" s="3" t="s">
        <v>30</v>
      </c>
      <c r="D65" s="4" t="s">
        <v>99</v>
      </c>
      <c r="E65" s="2" t="s">
        <v>100</v>
      </c>
      <c r="F65" s="2" t="s">
        <v>132</v>
      </c>
      <c r="G65" s="2" t="s">
        <v>133</v>
      </c>
      <c r="H65" s="2" t="s">
        <v>134</v>
      </c>
      <c r="I65" s="2" t="s">
        <v>135</v>
      </c>
      <c r="J65" s="60">
        <v>30</v>
      </c>
      <c r="K65" s="56" t="s">
        <v>13</v>
      </c>
      <c r="L65" s="13">
        <v>5.4000000000000003E-3</v>
      </c>
      <c r="M65" s="67" t="s">
        <v>136</v>
      </c>
      <c r="N65" s="64" t="s">
        <v>16</v>
      </c>
      <c r="O65" s="6" t="s">
        <v>16</v>
      </c>
      <c r="P65" s="76" t="s">
        <v>16</v>
      </c>
      <c r="Q65" s="71" t="s">
        <v>11</v>
      </c>
      <c r="R65" s="8" t="s">
        <v>138</v>
      </c>
      <c r="S65" s="88" t="s">
        <v>153</v>
      </c>
      <c r="T65" s="82" t="s">
        <v>108</v>
      </c>
      <c r="U65" s="49" t="s">
        <v>151</v>
      </c>
      <c r="V65" s="99" t="s">
        <v>154</v>
      </c>
      <c r="W65" s="94" t="s">
        <v>142</v>
      </c>
      <c r="X65" s="10" t="s">
        <v>143</v>
      </c>
      <c r="Y65" s="10" t="s">
        <v>144</v>
      </c>
      <c r="Z65" s="11" t="s">
        <v>16</v>
      </c>
      <c r="AA65" s="105" t="s">
        <v>16</v>
      </c>
      <c r="AB65" s="94" t="s">
        <v>145</v>
      </c>
      <c r="AC65" s="10" t="s">
        <v>146</v>
      </c>
      <c r="AD65" s="10" t="s">
        <v>147</v>
      </c>
      <c r="AE65" s="10"/>
    </row>
    <row r="66" spans="1:31" s="173" customFormat="1">
      <c r="A66" s="1">
        <v>2196</v>
      </c>
      <c r="B66" s="2" t="s">
        <v>30</v>
      </c>
      <c r="C66" s="3" t="s">
        <v>30</v>
      </c>
      <c r="D66" s="4" t="s">
        <v>99</v>
      </c>
      <c r="E66" s="2" t="s">
        <v>100</v>
      </c>
      <c r="F66" s="2" t="s">
        <v>132</v>
      </c>
      <c r="G66" s="2" t="s">
        <v>133</v>
      </c>
      <c r="H66" s="2" t="s">
        <v>134</v>
      </c>
      <c r="I66" s="2" t="s">
        <v>135</v>
      </c>
      <c r="J66" s="60">
        <v>30</v>
      </c>
      <c r="K66" s="56" t="s">
        <v>13</v>
      </c>
      <c r="L66" s="13">
        <v>5.4000000000000003E-3</v>
      </c>
      <c r="M66" s="67" t="s">
        <v>136</v>
      </c>
      <c r="N66" s="64" t="s">
        <v>16</v>
      </c>
      <c r="O66" s="6" t="s">
        <v>16</v>
      </c>
      <c r="P66" s="76" t="s">
        <v>16</v>
      </c>
      <c r="Q66" s="71" t="s">
        <v>11</v>
      </c>
      <c r="R66" s="8" t="s">
        <v>138</v>
      </c>
      <c r="S66" s="88" t="s">
        <v>155</v>
      </c>
      <c r="T66" s="82" t="s">
        <v>108</v>
      </c>
      <c r="U66" s="49" t="s">
        <v>151</v>
      </c>
      <c r="V66" s="99" t="s">
        <v>156</v>
      </c>
      <c r="W66" s="94" t="s">
        <v>142</v>
      </c>
      <c r="X66" s="10" t="s">
        <v>143</v>
      </c>
      <c r="Y66" s="10" t="s">
        <v>144</v>
      </c>
      <c r="Z66" s="11" t="s">
        <v>16</v>
      </c>
      <c r="AA66" s="105" t="s">
        <v>16</v>
      </c>
      <c r="AB66" s="94" t="s">
        <v>145</v>
      </c>
      <c r="AC66" s="10" t="s">
        <v>146</v>
      </c>
      <c r="AD66" s="10" t="s">
        <v>147</v>
      </c>
      <c r="AE66" s="10"/>
    </row>
    <row r="67" spans="1:31" s="173" customFormat="1">
      <c r="A67" s="1">
        <v>2197</v>
      </c>
      <c r="B67" s="2" t="s">
        <v>30</v>
      </c>
      <c r="C67" s="3" t="s">
        <v>30</v>
      </c>
      <c r="D67" s="4" t="s">
        <v>99</v>
      </c>
      <c r="E67" s="2" t="s">
        <v>100</v>
      </c>
      <c r="F67" s="2" t="s">
        <v>132</v>
      </c>
      <c r="G67" s="2" t="s">
        <v>133</v>
      </c>
      <c r="H67" s="2" t="s">
        <v>134</v>
      </c>
      <c r="I67" s="2" t="s">
        <v>135</v>
      </c>
      <c r="J67" s="60">
        <v>30</v>
      </c>
      <c r="K67" s="56" t="s">
        <v>13</v>
      </c>
      <c r="L67" s="13">
        <v>5.4000000000000003E-3</v>
      </c>
      <c r="M67" s="67" t="s">
        <v>136</v>
      </c>
      <c r="N67" s="64" t="s">
        <v>16</v>
      </c>
      <c r="O67" s="6" t="s">
        <v>16</v>
      </c>
      <c r="P67" s="76" t="s">
        <v>16</v>
      </c>
      <c r="Q67" s="71" t="s">
        <v>11</v>
      </c>
      <c r="R67" s="8" t="s">
        <v>138</v>
      </c>
      <c r="S67" s="88" t="s">
        <v>157</v>
      </c>
      <c r="T67" s="82" t="s">
        <v>108</v>
      </c>
      <c r="U67" s="49" t="s">
        <v>151</v>
      </c>
      <c r="V67" s="99" t="s">
        <v>158</v>
      </c>
      <c r="W67" s="94" t="s">
        <v>142</v>
      </c>
      <c r="X67" s="10" t="s">
        <v>143</v>
      </c>
      <c r="Y67" s="10" t="s">
        <v>144</v>
      </c>
      <c r="Z67" s="11" t="s">
        <v>16</v>
      </c>
      <c r="AA67" s="105" t="s">
        <v>16</v>
      </c>
      <c r="AB67" s="94" t="s">
        <v>145</v>
      </c>
      <c r="AC67" s="10" t="s">
        <v>146</v>
      </c>
      <c r="AD67" s="10" t="s">
        <v>147</v>
      </c>
      <c r="AE67" s="10"/>
    </row>
    <row r="68" spans="1:31" s="173" customFormat="1">
      <c r="A68" s="1">
        <v>2198</v>
      </c>
      <c r="B68" s="2" t="s">
        <v>32</v>
      </c>
      <c r="C68" s="3" t="s">
        <v>93</v>
      </c>
      <c r="D68" s="4" t="s">
        <v>93</v>
      </c>
      <c r="E68" s="51" t="s">
        <v>93</v>
      </c>
      <c r="F68" s="51" t="s">
        <v>93</v>
      </c>
      <c r="G68" s="2" t="s">
        <v>506</v>
      </c>
      <c r="H68" s="2" t="s">
        <v>507</v>
      </c>
      <c r="I68" s="51" t="s">
        <v>93</v>
      </c>
      <c r="J68" s="41" t="s">
        <v>93</v>
      </c>
      <c r="K68" s="36" t="s">
        <v>13</v>
      </c>
      <c r="L68" s="5" t="s">
        <v>93</v>
      </c>
      <c r="M68" s="67" t="s">
        <v>93</v>
      </c>
      <c r="N68" s="64" t="s">
        <v>16</v>
      </c>
      <c r="O68" s="6" t="s">
        <v>16</v>
      </c>
      <c r="P68" s="81" t="s">
        <v>16</v>
      </c>
      <c r="Q68" s="73" t="s">
        <v>16</v>
      </c>
      <c r="R68" s="26" t="s">
        <v>16</v>
      </c>
      <c r="S68" s="92" t="s">
        <v>16</v>
      </c>
      <c r="T68" s="84" t="s">
        <v>16</v>
      </c>
      <c r="U68" s="27" t="s">
        <v>16</v>
      </c>
      <c r="V68" s="103" t="s">
        <v>16</v>
      </c>
      <c r="W68" s="33" t="s">
        <v>93</v>
      </c>
      <c r="X68" s="11" t="s">
        <v>16</v>
      </c>
      <c r="Y68" s="11" t="s">
        <v>16</v>
      </c>
      <c r="Z68" s="11" t="s">
        <v>16</v>
      </c>
      <c r="AA68" s="105" t="s">
        <v>16</v>
      </c>
      <c r="AB68" s="94"/>
      <c r="AC68" s="10"/>
      <c r="AD68" s="10"/>
      <c r="AE68" s="10"/>
    </row>
    <row r="69" spans="1:31" s="173" customFormat="1">
      <c r="A69" s="1">
        <v>2199</v>
      </c>
      <c r="B69" s="17" t="s">
        <v>31</v>
      </c>
      <c r="C69" s="3" t="s">
        <v>93</v>
      </c>
      <c r="D69" s="29" t="s">
        <v>93</v>
      </c>
      <c r="E69" s="51" t="s">
        <v>93</v>
      </c>
      <c r="F69" s="2" t="s">
        <v>93</v>
      </c>
      <c r="G69" s="2" t="s">
        <v>575</v>
      </c>
      <c r="H69" s="2" t="s">
        <v>576</v>
      </c>
      <c r="I69" s="2" t="s">
        <v>93</v>
      </c>
      <c r="J69" s="41" t="s">
        <v>93</v>
      </c>
      <c r="K69" s="36" t="s">
        <v>13</v>
      </c>
      <c r="L69" s="42" t="s">
        <v>93</v>
      </c>
      <c r="M69" s="67" t="s">
        <v>93</v>
      </c>
      <c r="N69" s="64" t="s">
        <v>16</v>
      </c>
      <c r="O69" s="6" t="s">
        <v>16</v>
      </c>
      <c r="P69" s="81" t="s">
        <v>16</v>
      </c>
      <c r="Q69" s="73" t="s">
        <v>16</v>
      </c>
      <c r="R69" s="26" t="s">
        <v>16</v>
      </c>
      <c r="S69" s="92" t="s">
        <v>16</v>
      </c>
      <c r="T69" s="82" t="s">
        <v>16</v>
      </c>
      <c r="U69" s="9" t="s">
        <v>16</v>
      </c>
      <c r="V69" s="100" t="s">
        <v>16</v>
      </c>
      <c r="W69" s="33" t="s">
        <v>93</v>
      </c>
      <c r="X69" s="11" t="s">
        <v>16</v>
      </c>
      <c r="Y69" s="11" t="s">
        <v>16</v>
      </c>
      <c r="Z69" s="11" t="s">
        <v>16</v>
      </c>
      <c r="AA69" s="105" t="s">
        <v>16</v>
      </c>
      <c r="AB69" s="94"/>
      <c r="AC69" s="10"/>
      <c r="AD69" s="10"/>
      <c r="AE69" s="10"/>
    </row>
    <row r="70" spans="1:31" s="173" customFormat="1">
      <c r="A70" s="1">
        <v>2200</v>
      </c>
      <c r="B70" s="2" t="s">
        <v>90</v>
      </c>
      <c r="C70" s="3" t="s">
        <v>90</v>
      </c>
      <c r="D70" s="4" t="s">
        <v>91</v>
      </c>
      <c r="E70" s="2" t="s">
        <v>92</v>
      </c>
      <c r="F70" s="44" t="s">
        <v>93</v>
      </c>
      <c r="G70" s="2" t="s">
        <v>94</v>
      </c>
      <c r="H70" s="2" t="s">
        <v>95</v>
      </c>
      <c r="I70" s="2" t="s">
        <v>16</v>
      </c>
      <c r="J70" s="59" t="s">
        <v>93</v>
      </c>
      <c r="K70" s="36" t="s">
        <v>28</v>
      </c>
      <c r="L70" s="5" t="s">
        <v>93</v>
      </c>
      <c r="M70" s="66" t="s">
        <v>93</v>
      </c>
      <c r="N70" s="64" t="s">
        <v>16</v>
      </c>
      <c r="O70" s="7" t="s">
        <v>16</v>
      </c>
      <c r="P70" s="75" t="s">
        <v>16</v>
      </c>
      <c r="Q70" s="71" t="s">
        <v>16</v>
      </c>
      <c r="R70" s="8" t="s">
        <v>16</v>
      </c>
      <c r="S70" s="87" t="s">
        <v>16</v>
      </c>
      <c r="T70" s="82" t="s">
        <v>16</v>
      </c>
      <c r="U70" s="9" t="s">
        <v>16</v>
      </c>
      <c r="V70" s="97" t="s">
        <v>16</v>
      </c>
      <c r="W70" s="94" t="s">
        <v>93</v>
      </c>
      <c r="X70" s="11" t="s">
        <v>16</v>
      </c>
      <c r="Y70" s="11" t="s">
        <v>16</v>
      </c>
      <c r="Z70" s="11" t="s">
        <v>16</v>
      </c>
      <c r="AA70" s="105" t="s">
        <v>16</v>
      </c>
      <c r="AB70" s="104" t="s">
        <v>96</v>
      </c>
      <c r="AC70" s="12" t="s">
        <v>97</v>
      </c>
      <c r="AD70" s="12" t="s">
        <v>98</v>
      </c>
      <c r="AE70" s="10"/>
    </row>
    <row r="71" spans="1:31" s="173" customFormat="1">
      <c r="A71" s="1">
        <v>2201</v>
      </c>
      <c r="B71" s="2" t="s">
        <v>33</v>
      </c>
      <c r="C71" s="3" t="s">
        <v>33</v>
      </c>
      <c r="D71" s="4" t="s">
        <v>99</v>
      </c>
      <c r="E71" s="2" t="s">
        <v>92</v>
      </c>
      <c r="F71" s="2" t="s">
        <v>210</v>
      </c>
      <c r="G71" s="2" t="s">
        <v>211</v>
      </c>
      <c r="H71" s="2" t="s">
        <v>212</v>
      </c>
      <c r="I71" s="2" t="s">
        <v>213</v>
      </c>
      <c r="J71" s="60">
        <v>7.1</v>
      </c>
      <c r="K71" s="56" t="s">
        <v>28</v>
      </c>
      <c r="L71" s="28">
        <v>0.29499999999999998</v>
      </c>
      <c r="M71" s="67" t="s">
        <v>214</v>
      </c>
      <c r="N71" s="64" t="s">
        <v>16</v>
      </c>
      <c r="O71" s="6" t="s">
        <v>16</v>
      </c>
      <c r="P71" s="78" t="s">
        <v>16</v>
      </c>
      <c r="Q71" s="71" t="s">
        <v>16</v>
      </c>
      <c r="R71" s="50" t="s">
        <v>16</v>
      </c>
      <c r="S71" s="87" t="s">
        <v>16</v>
      </c>
      <c r="T71" s="82" t="s">
        <v>16</v>
      </c>
      <c r="U71" s="49" t="s">
        <v>16</v>
      </c>
      <c r="V71" s="97" t="s">
        <v>16</v>
      </c>
      <c r="W71" s="94" t="s">
        <v>216</v>
      </c>
      <c r="X71" s="11" t="s">
        <v>16</v>
      </c>
      <c r="Y71" s="11" t="s">
        <v>16</v>
      </c>
      <c r="Z71" s="11" t="s">
        <v>16</v>
      </c>
      <c r="AA71" s="107" t="s">
        <v>16</v>
      </c>
      <c r="AB71" s="94" t="s">
        <v>215</v>
      </c>
      <c r="AC71" s="10"/>
      <c r="AD71" s="10"/>
      <c r="AE71" s="10"/>
    </row>
    <row r="72" spans="1:31" s="173" customFormat="1">
      <c r="A72" s="1">
        <v>2202</v>
      </c>
      <c r="B72" s="2" t="s">
        <v>33</v>
      </c>
      <c r="C72" s="3" t="s">
        <v>33</v>
      </c>
      <c r="D72" s="4" t="s">
        <v>99</v>
      </c>
      <c r="E72" s="2" t="s">
        <v>92</v>
      </c>
      <c r="F72" s="2" t="s">
        <v>210</v>
      </c>
      <c r="G72" s="2" t="s">
        <v>211</v>
      </c>
      <c r="H72" s="2" t="s">
        <v>212</v>
      </c>
      <c r="I72" s="2" t="s">
        <v>213</v>
      </c>
      <c r="J72" s="60">
        <v>7.1</v>
      </c>
      <c r="K72" s="56" t="s">
        <v>28</v>
      </c>
      <c r="L72" s="28">
        <v>0.29499999999999998</v>
      </c>
      <c r="M72" s="67" t="s">
        <v>214</v>
      </c>
      <c r="N72" s="64" t="s">
        <v>16</v>
      </c>
      <c r="O72" s="6" t="s">
        <v>16</v>
      </c>
      <c r="P72" s="78" t="s">
        <v>16</v>
      </c>
      <c r="Q72" s="71" t="s">
        <v>16</v>
      </c>
      <c r="R72" s="50" t="s">
        <v>16</v>
      </c>
      <c r="S72" s="87" t="s">
        <v>16</v>
      </c>
      <c r="T72" s="82" t="s">
        <v>16</v>
      </c>
      <c r="U72" s="49" t="s">
        <v>16</v>
      </c>
      <c r="V72" s="97" t="s">
        <v>16</v>
      </c>
      <c r="W72" s="94" t="s">
        <v>216</v>
      </c>
      <c r="X72" s="11" t="s">
        <v>16</v>
      </c>
      <c r="Y72" s="11" t="s">
        <v>16</v>
      </c>
      <c r="Z72" s="11" t="s">
        <v>16</v>
      </c>
      <c r="AA72" s="107" t="s">
        <v>16</v>
      </c>
      <c r="AB72" s="94" t="s">
        <v>215</v>
      </c>
      <c r="AC72" s="10"/>
      <c r="AD72" s="10"/>
      <c r="AE72" s="10"/>
    </row>
    <row r="73" spans="1:31" s="173" customFormat="1">
      <c r="A73" s="1">
        <v>2203</v>
      </c>
      <c r="B73" s="2" t="s">
        <v>33</v>
      </c>
      <c r="C73" s="3" t="s">
        <v>33</v>
      </c>
      <c r="D73" s="4" t="s">
        <v>99</v>
      </c>
      <c r="E73" s="2" t="s">
        <v>92</v>
      </c>
      <c r="F73" s="2" t="s">
        <v>210</v>
      </c>
      <c r="G73" s="2" t="s">
        <v>211</v>
      </c>
      <c r="H73" s="2" t="s">
        <v>212</v>
      </c>
      <c r="I73" s="2" t="s">
        <v>213</v>
      </c>
      <c r="J73" s="60">
        <v>7.1</v>
      </c>
      <c r="K73" s="56" t="s">
        <v>28</v>
      </c>
      <c r="L73" s="28">
        <v>0.29499999999999998</v>
      </c>
      <c r="M73" s="67" t="s">
        <v>214</v>
      </c>
      <c r="N73" s="64" t="s">
        <v>16</v>
      </c>
      <c r="O73" s="6" t="s">
        <v>16</v>
      </c>
      <c r="P73" s="78" t="s">
        <v>16</v>
      </c>
      <c r="Q73" s="71" t="s">
        <v>16</v>
      </c>
      <c r="R73" s="50" t="s">
        <v>16</v>
      </c>
      <c r="S73" s="87" t="s">
        <v>16</v>
      </c>
      <c r="T73" s="82" t="s">
        <v>16</v>
      </c>
      <c r="U73" s="49" t="s">
        <v>16</v>
      </c>
      <c r="V73" s="97" t="s">
        <v>16</v>
      </c>
      <c r="W73" s="94" t="s">
        <v>216</v>
      </c>
      <c r="X73" s="11" t="s">
        <v>16</v>
      </c>
      <c r="Y73" s="11" t="s">
        <v>16</v>
      </c>
      <c r="Z73" s="11" t="s">
        <v>16</v>
      </c>
      <c r="AA73" s="107" t="s">
        <v>16</v>
      </c>
      <c r="AB73" s="94" t="s">
        <v>215</v>
      </c>
      <c r="AC73" s="10"/>
      <c r="AD73" s="10"/>
      <c r="AE73" s="10"/>
    </row>
    <row r="74" spans="1:31" s="173" customFormat="1">
      <c r="A74" s="1">
        <v>2208</v>
      </c>
      <c r="B74" s="2" t="s">
        <v>33</v>
      </c>
      <c r="C74" s="3" t="s">
        <v>33</v>
      </c>
      <c r="D74" s="4" t="s">
        <v>99</v>
      </c>
      <c r="E74" s="2" t="s">
        <v>92</v>
      </c>
      <c r="F74" s="2" t="s">
        <v>210</v>
      </c>
      <c r="G74" s="2" t="s">
        <v>211</v>
      </c>
      <c r="H74" s="2" t="s">
        <v>212</v>
      </c>
      <c r="I74" s="2" t="s">
        <v>213</v>
      </c>
      <c r="J74" s="60">
        <v>7.1</v>
      </c>
      <c r="K74" s="56" t="s">
        <v>28</v>
      </c>
      <c r="L74" s="28">
        <v>0.29499999999999998</v>
      </c>
      <c r="M74" s="67" t="s">
        <v>214</v>
      </c>
      <c r="N74" s="64" t="s">
        <v>16</v>
      </c>
      <c r="O74" s="6" t="s">
        <v>16</v>
      </c>
      <c r="P74" s="78" t="s">
        <v>16</v>
      </c>
      <c r="Q74" s="71" t="s">
        <v>16</v>
      </c>
      <c r="R74" s="50" t="s">
        <v>16</v>
      </c>
      <c r="S74" s="87" t="s">
        <v>16</v>
      </c>
      <c r="T74" s="82" t="s">
        <v>16</v>
      </c>
      <c r="U74" s="49" t="s">
        <v>16</v>
      </c>
      <c r="V74" s="97" t="s">
        <v>16</v>
      </c>
      <c r="W74" s="94" t="s">
        <v>216</v>
      </c>
      <c r="X74" s="11" t="s">
        <v>16</v>
      </c>
      <c r="Y74" s="11" t="s">
        <v>16</v>
      </c>
      <c r="Z74" s="11" t="s">
        <v>16</v>
      </c>
      <c r="AA74" s="107" t="s">
        <v>16</v>
      </c>
      <c r="AB74" s="94" t="s">
        <v>215</v>
      </c>
      <c r="AC74" s="10"/>
      <c r="AD74" s="10"/>
      <c r="AE74" s="10"/>
    </row>
    <row r="75" spans="1:31" s="173" customFormat="1">
      <c r="A75" s="1">
        <v>2209</v>
      </c>
      <c r="B75" s="2" t="s">
        <v>33</v>
      </c>
      <c r="C75" s="3" t="s">
        <v>33</v>
      </c>
      <c r="D75" s="4" t="s">
        <v>99</v>
      </c>
      <c r="E75" s="2" t="s">
        <v>92</v>
      </c>
      <c r="F75" s="2" t="s">
        <v>210</v>
      </c>
      <c r="G75" s="2" t="s">
        <v>211</v>
      </c>
      <c r="H75" s="2" t="s">
        <v>212</v>
      </c>
      <c r="I75" s="2" t="s">
        <v>213</v>
      </c>
      <c r="J75" s="60">
        <v>7.1</v>
      </c>
      <c r="K75" s="56" t="s">
        <v>28</v>
      </c>
      <c r="L75" s="28">
        <v>0.29499999999999998</v>
      </c>
      <c r="M75" s="67" t="s">
        <v>214</v>
      </c>
      <c r="N75" s="64" t="s">
        <v>16</v>
      </c>
      <c r="O75" s="6" t="s">
        <v>16</v>
      </c>
      <c r="P75" s="78" t="s">
        <v>16</v>
      </c>
      <c r="Q75" s="71" t="s">
        <v>16</v>
      </c>
      <c r="R75" s="50" t="s">
        <v>16</v>
      </c>
      <c r="S75" s="87" t="s">
        <v>16</v>
      </c>
      <c r="T75" s="82" t="s">
        <v>16</v>
      </c>
      <c r="U75" s="49" t="s">
        <v>16</v>
      </c>
      <c r="V75" s="97" t="s">
        <v>16</v>
      </c>
      <c r="W75" s="94" t="s">
        <v>216</v>
      </c>
      <c r="X75" s="11" t="s">
        <v>16</v>
      </c>
      <c r="Y75" s="11" t="s">
        <v>16</v>
      </c>
      <c r="Z75" s="11" t="s">
        <v>16</v>
      </c>
      <c r="AA75" s="107" t="s">
        <v>16</v>
      </c>
      <c r="AB75" s="94" t="s">
        <v>215</v>
      </c>
      <c r="AC75" s="10"/>
      <c r="AD75" s="10"/>
      <c r="AE75" s="10"/>
    </row>
    <row r="76" spans="1:31" s="173" customFormat="1">
      <c r="A76" s="1">
        <v>2214</v>
      </c>
      <c r="B76" s="2" t="s">
        <v>2</v>
      </c>
      <c r="C76" s="3" t="s">
        <v>2</v>
      </c>
      <c r="D76" s="31" t="s">
        <v>338</v>
      </c>
      <c r="E76" s="32" t="s">
        <v>92</v>
      </c>
      <c r="F76" s="2" t="s">
        <v>339</v>
      </c>
      <c r="G76" s="2" t="s">
        <v>340</v>
      </c>
      <c r="H76" s="2" t="s">
        <v>341</v>
      </c>
      <c r="I76" s="2" t="s">
        <v>342</v>
      </c>
      <c r="J76" s="59" t="s">
        <v>93</v>
      </c>
      <c r="K76" s="36" t="s">
        <v>93</v>
      </c>
      <c r="L76" s="5" t="s">
        <v>93</v>
      </c>
      <c r="M76" s="66" t="s">
        <v>93</v>
      </c>
      <c r="N76" s="64" t="s">
        <v>16</v>
      </c>
      <c r="O76" s="47" t="s">
        <v>16</v>
      </c>
      <c r="P76" s="76" t="s">
        <v>16</v>
      </c>
      <c r="Q76" s="71" t="s">
        <v>11</v>
      </c>
      <c r="R76" s="26" t="s">
        <v>93</v>
      </c>
      <c r="S76" s="87" t="s">
        <v>93</v>
      </c>
      <c r="T76" s="82" t="s">
        <v>108</v>
      </c>
      <c r="U76" s="46" t="s">
        <v>93</v>
      </c>
      <c r="V76" s="97" t="s">
        <v>93</v>
      </c>
      <c r="W76" s="94" t="s">
        <v>343</v>
      </c>
      <c r="X76" s="11" t="s">
        <v>16</v>
      </c>
      <c r="Y76" s="11" t="s">
        <v>16</v>
      </c>
      <c r="Z76" s="11" t="s">
        <v>16</v>
      </c>
      <c r="AA76" s="105" t="s">
        <v>16</v>
      </c>
      <c r="AB76" s="94" t="s">
        <v>344</v>
      </c>
      <c r="AC76" s="10"/>
      <c r="AD76" s="10"/>
      <c r="AE76" s="10"/>
    </row>
    <row r="77" spans="1:31" s="173" customFormat="1">
      <c r="A77" s="1">
        <v>2217</v>
      </c>
      <c r="B77" s="2" t="s">
        <v>2</v>
      </c>
      <c r="C77" s="3" t="s">
        <v>2</v>
      </c>
      <c r="D77" s="31" t="s">
        <v>338</v>
      </c>
      <c r="E77" s="32" t="s">
        <v>92</v>
      </c>
      <c r="F77" s="2" t="s">
        <v>339</v>
      </c>
      <c r="G77" s="2" t="s">
        <v>340</v>
      </c>
      <c r="H77" s="2" t="s">
        <v>341</v>
      </c>
      <c r="I77" s="2" t="s">
        <v>342</v>
      </c>
      <c r="J77" s="59" t="s">
        <v>93</v>
      </c>
      <c r="K77" s="36" t="s">
        <v>93</v>
      </c>
      <c r="L77" s="5" t="s">
        <v>93</v>
      </c>
      <c r="M77" s="66" t="s">
        <v>93</v>
      </c>
      <c r="N77" s="64" t="s">
        <v>16</v>
      </c>
      <c r="O77" s="47" t="s">
        <v>16</v>
      </c>
      <c r="P77" s="76" t="s">
        <v>16</v>
      </c>
      <c r="Q77" s="71" t="s">
        <v>11</v>
      </c>
      <c r="R77" s="26" t="s">
        <v>93</v>
      </c>
      <c r="S77" s="87" t="s">
        <v>93</v>
      </c>
      <c r="T77" s="82" t="s">
        <v>108</v>
      </c>
      <c r="U77" s="46" t="s">
        <v>93</v>
      </c>
      <c r="V77" s="97" t="s">
        <v>93</v>
      </c>
      <c r="W77" s="94" t="s">
        <v>343</v>
      </c>
      <c r="X77" s="11" t="s">
        <v>16</v>
      </c>
      <c r="Y77" s="11" t="s">
        <v>16</v>
      </c>
      <c r="Z77" s="11" t="s">
        <v>16</v>
      </c>
      <c r="AA77" s="105" t="s">
        <v>16</v>
      </c>
      <c r="AB77" s="94" t="s">
        <v>344</v>
      </c>
      <c r="AC77" s="10"/>
      <c r="AD77" s="10"/>
      <c r="AE77" s="10"/>
    </row>
    <row r="78" spans="1:31" s="173" customFormat="1">
      <c r="A78" s="1">
        <v>2218</v>
      </c>
      <c r="B78" s="2" t="s">
        <v>3</v>
      </c>
      <c r="C78" s="3" t="s">
        <v>3</v>
      </c>
      <c r="D78" s="4" t="s">
        <v>93</v>
      </c>
      <c r="E78" s="2" t="s">
        <v>92</v>
      </c>
      <c r="F78" s="44" t="s">
        <v>93</v>
      </c>
      <c r="G78" s="2" t="s">
        <v>379</v>
      </c>
      <c r="H78" s="2" t="s">
        <v>380</v>
      </c>
      <c r="I78" s="2" t="s">
        <v>381</v>
      </c>
      <c r="J78" s="62" t="s">
        <v>93</v>
      </c>
      <c r="K78" s="56" t="s">
        <v>13</v>
      </c>
      <c r="L78" s="13">
        <v>5.0000000000000001E-3</v>
      </c>
      <c r="M78" s="67" t="s">
        <v>93</v>
      </c>
      <c r="N78" s="64" t="s">
        <v>16</v>
      </c>
      <c r="O78" s="6" t="s">
        <v>16</v>
      </c>
      <c r="P78" s="81" t="s">
        <v>16</v>
      </c>
      <c r="Q78" s="74" t="s">
        <v>16</v>
      </c>
      <c r="R78" s="8" t="s">
        <v>16</v>
      </c>
      <c r="S78" s="91" t="s">
        <v>16</v>
      </c>
      <c r="T78" s="86" t="s">
        <v>16</v>
      </c>
      <c r="U78" s="9" t="s">
        <v>16</v>
      </c>
      <c r="V78" s="102" t="s">
        <v>16</v>
      </c>
      <c r="W78" s="94" t="s">
        <v>382</v>
      </c>
      <c r="X78" s="10" t="s">
        <v>383</v>
      </c>
      <c r="Y78" s="11" t="s">
        <v>16</v>
      </c>
      <c r="Z78" s="11" t="s">
        <v>16</v>
      </c>
      <c r="AA78" s="105" t="s">
        <v>16</v>
      </c>
      <c r="AB78" s="94" t="s">
        <v>384</v>
      </c>
      <c r="AC78" s="10"/>
      <c r="AD78" s="10"/>
      <c r="AE78" s="10"/>
    </row>
    <row r="79" spans="1:31" s="173" customFormat="1">
      <c r="A79" s="1">
        <v>2219</v>
      </c>
      <c r="B79" s="2" t="s">
        <v>2</v>
      </c>
      <c r="C79" s="3" t="s">
        <v>2</v>
      </c>
      <c r="D79" s="31" t="s">
        <v>338</v>
      </c>
      <c r="E79" s="32" t="s">
        <v>92</v>
      </c>
      <c r="F79" s="2" t="s">
        <v>339</v>
      </c>
      <c r="G79" s="2" t="s">
        <v>340</v>
      </c>
      <c r="H79" s="2" t="s">
        <v>341</v>
      </c>
      <c r="I79" s="2" t="s">
        <v>342</v>
      </c>
      <c r="J79" s="59" t="s">
        <v>93</v>
      </c>
      <c r="K79" s="36" t="s">
        <v>93</v>
      </c>
      <c r="L79" s="5" t="s">
        <v>93</v>
      </c>
      <c r="M79" s="66" t="s">
        <v>93</v>
      </c>
      <c r="N79" s="64" t="s">
        <v>16</v>
      </c>
      <c r="O79" s="47" t="s">
        <v>16</v>
      </c>
      <c r="P79" s="76" t="s">
        <v>16</v>
      </c>
      <c r="Q79" s="71" t="s">
        <v>11</v>
      </c>
      <c r="R79" s="26" t="s">
        <v>93</v>
      </c>
      <c r="S79" s="87" t="s">
        <v>93</v>
      </c>
      <c r="T79" s="82" t="s">
        <v>108</v>
      </c>
      <c r="U79" s="46" t="s">
        <v>93</v>
      </c>
      <c r="V79" s="97" t="s">
        <v>93</v>
      </c>
      <c r="W79" s="94" t="s">
        <v>343</v>
      </c>
      <c r="X79" s="11" t="s">
        <v>16</v>
      </c>
      <c r="Y79" s="11" t="s">
        <v>16</v>
      </c>
      <c r="Z79" s="11" t="s">
        <v>16</v>
      </c>
      <c r="AA79" s="105" t="s">
        <v>16</v>
      </c>
      <c r="AB79" s="94" t="s">
        <v>344</v>
      </c>
      <c r="AC79" s="10"/>
      <c r="AD79" s="10"/>
      <c r="AE79" s="10"/>
    </row>
    <row r="80" spans="1:31" s="173" customFormat="1">
      <c r="A80" s="1">
        <v>2221</v>
      </c>
      <c r="B80" s="2" t="s">
        <v>3</v>
      </c>
      <c r="C80" s="3" t="s">
        <v>3</v>
      </c>
      <c r="D80" s="4" t="s">
        <v>93</v>
      </c>
      <c r="E80" s="2" t="s">
        <v>92</v>
      </c>
      <c r="F80" s="44" t="s">
        <v>93</v>
      </c>
      <c r="G80" s="2" t="s">
        <v>379</v>
      </c>
      <c r="H80" s="2" t="s">
        <v>380</v>
      </c>
      <c r="I80" s="2" t="s">
        <v>381</v>
      </c>
      <c r="J80" s="62" t="s">
        <v>93</v>
      </c>
      <c r="K80" s="56" t="s">
        <v>13</v>
      </c>
      <c r="L80" s="13">
        <v>5.0000000000000001E-3</v>
      </c>
      <c r="M80" s="67" t="s">
        <v>93</v>
      </c>
      <c r="N80" s="64" t="s">
        <v>16</v>
      </c>
      <c r="O80" s="6" t="s">
        <v>16</v>
      </c>
      <c r="P80" s="81" t="s">
        <v>16</v>
      </c>
      <c r="Q80" s="74" t="s">
        <v>16</v>
      </c>
      <c r="R80" s="8" t="s">
        <v>16</v>
      </c>
      <c r="S80" s="91" t="s">
        <v>16</v>
      </c>
      <c r="T80" s="86" t="s">
        <v>16</v>
      </c>
      <c r="U80" s="9" t="s">
        <v>16</v>
      </c>
      <c r="V80" s="102" t="s">
        <v>16</v>
      </c>
      <c r="W80" s="94" t="s">
        <v>382</v>
      </c>
      <c r="X80" s="10" t="s">
        <v>383</v>
      </c>
      <c r="Y80" s="11" t="s">
        <v>16</v>
      </c>
      <c r="Z80" s="11" t="s">
        <v>16</v>
      </c>
      <c r="AA80" s="105" t="s">
        <v>16</v>
      </c>
      <c r="AB80" s="94" t="s">
        <v>384</v>
      </c>
      <c r="AC80" s="10"/>
      <c r="AD80" s="10"/>
      <c r="AE80" s="10"/>
    </row>
    <row r="81" spans="1:31" s="173" customFormat="1">
      <c r="A81" s="1">
        <v>2227</v>
      </c>
      <c r="B81" s="2" t="s">
        <v>34</v>
      </c>
      <c r="C81" s="3" t="s">
        <v>542</v>
      </c>
      <c r="D81" s="4" t="s">
        <v>543</v>
      </c>
      <c r="E81" s="2" t="s">
        <v>92</v>
      </c>
      <c r="F81" s="2" t="s">
        <v>544</v>
      </c>
      <c r="G81" s="2" t="s">
        <v>545</v>
      </c>
      <c r="H81" s="2" t="s">
        <v>546</v>
      </c>
      <c r="I81" s="2" t="s">
        <v>547</v>
      </c>
      <c r="J81" s="60">
        <v>6.5</v>
      </c>
      <c r="K81" s="58" t="s">
        <v>93</v>
      </c>
      <c r="L81" s="42" t="s">
        <v>93</v>
      </c>
      <c r="M81" s="67" t="s">
        <v>93</v>
      </c>
      <c r="N81" s="64" t="s">
        <v>16</v>
      </c>
      <c r="O81" s="6" t="s">
        <v>16</v>
      </c>
      <c r="P81" s="81" t="s">
        <v>16</v>
      </c>
      <c r="Q81" s="71" t="s">
        <v>11</v>
      </c>
      <c r="R81" s="8" t="s">
        <v>548</v>
      </c>
      <c r="S81" s="90" t="s">
        <v>549</v>
      </c>
      <c r="T81" s="82" t="s">
        <v>16</v>
      </c>
      <c r="U81" s="9" t="s">
        <v>16</v>
      </c>
      <c r="V81" s="100" t="s">
        <v>16</v>
      </c>
      <c r="W81" s="94" t="s">
        <v>343</v>
      </c>
      <c r="X81" s="11" t="s">
        <v>16</v>
      </c>
      <c r="Y81" s="11" t="s">
        <v>16</v>
      </c>
      <c r="Z81" s="11" t="s">
        <v>16</v>
      </c>
      <c r="AA81" s="105" t="s">
        <v>16</v>
      </c>
      <c r="AB81" s="94" t="s">
        <v>550</v>
      </c>
      <c r="AC81" s="10"/>
      <c r="AD81" s="10"/>
      <c r="AE81" s="10"/>
    </row>
    <row r="82" spans="1:31" s="173" customFormat="1">
      <c r="A82" s="1">
        <v>2228</v>
      </c>
      <c r="B82" s="2" t="s">
        <v>34</v>
      </c>
      <c r="C82" s="3" t="s">
        <v>34</v>
      </c>
      <c r="D82" s="4" t="s">
        <v>543</v>
      </c>
      <c r="E82" s="2" t="s">
        <v>92</v>
      </c>
      <c r="F82" s="2" t="s">
        <v>544</v>
      </c>
      <c r="G82" s="2" t="s">
        <v>545</v>
      </c>
      <c r="H82" s="2" t="s">
        <v>546</v>
      </c>
      <c r="I82" s="2" t="s">
        <v>547</v>
      </c>
      <c r="J82" s="60">
        <v>7.5</v>
      </c>
      <c r="K82" s="58" t="s">
        <v>93</v>
      </c>
      <c r="L82" s="42" t="s">
        <v>93</v>
      </c>
      <c r="M82" s="67" t="s">
        <v>93</v>
      </c>
      <c r="N82" s="64" t="s">
        <v>16</v>
      </c>
      <c r="O82" s="6" t="s">
        <v>16</v>
      </c>
      <c r="P82" s="81" t="s">
        <v>16</v>
      </c>
      <c r="Q82" s="71" t="s">
        <v>11</v>
      </c>
      <c r="R82" s="8" t="s">
        <v>548</v>
      </c>
      <c r="S82" s="90" t="s">
        <v>551</v>
      </c>
      <c r="T82" s="82" t="s">
        <v>16</v>
      </c>
      <c r="U82" s="9" t="s">
        <v>16</v>
      </c>
      <c r="V82" s="100" t="s">
        <v>16</v>
      </c>
      <c r="W82" s="94" t="s">
        <v>343</v>
      </c>
      <c r="X82" s="11" t="s">
        <v>16</v>
      </c>
      <c r="Y82" s="11" t="s">
        <v>16</v>
      </c>
      <c r="Z82" s="11" t="s">
        <v>16</v>
      </c>
      <c r="AA82" s="105" t="s">
        <v>16</v>
      </c>
      <c r="AB82" s="94" t="s">
        <v>550</v>
      </c>
      <c r="AC82" s="10"/>
      <c r="AD82" s="10"/>
      <c r="AE82" s="10"/>
    </row>
    <row r="83" spans="1:31" s="173" customFormat="1">
      <c r="A83" s="1">
        <v>2229</v>
      </c>
      <c r="B83" s="2" t="s">
        <v>34</v>
      </c>
      <c r="C83" s="3" t="s">
        <v>34</v>
      </c>
      <c r="D83" s="4" t="s">
        <v>543</v>
      </c>
      <c r="E83" s="2" t="s">
        <v>92</v>
      </c>
      <c r="F83" s="2" t="s">
        <v>544</v>
      </c>
      <c r="G83" s="2" t="s">
        <v>545</v>
      </c>
      <c r="H83" s="2" t="s">
        <v>546</v>
      </c>
      <c r="I83" s="2" t="s">
        <v>547</v>
      </c>
      <c r="J83" s="60">
        <v>8.5</v>
      </c>
      <c r="K83" s="58" t="s">
        <v>93</v>
      </c>
      <c r="L83" s="42" t="s">
        <v>93</v>
      </c>
      <c r="M83" s="67" t="s">
        <v>93</v>
      </c>
      <c r="N83" s="64" t="s">
        <v>16</v>
      </c>
      <c r="O83" s="6" t="s">
        <v>16</v>
      </c>
      <c r="P83" s="81" t="s">
        <v>16</v>
      </c>
      <c r="Q83" s="71" t="s">
        <v>11</v>
      </c>
      <c r="R83" s="8" t="s">
        <v>548</v>
      </c>
      <c r="S83" s="90" t="s">
        <v>552</v>
      </c>
      <c r="T83" s="82" t="s">
        <v>16</v>
      </c>
      <c r="U83" s="9" t="s">
        <v>16</v>
      </c>
      <c r="V83" s="100" t="s">
        <v>16</v>
      </c>
      <c r="W83" s="94" t="s">
        <v>343</v>
      </c>
      <c r="X83" s="11" t="s">
        <v>16</v>
      </c>
      <c r="Y83" s="11" t="s">
        <v>16</v>
      </c>
      <c r="Z83" s="11" t="s">
        <v>16</v>
      </c>
      <c r="AA83" s="105" t="s">
        <v>16</v>
      </c>
      <c r="AB83" s="94" t="s">
        <v>550</v>
      </c>
      <c r="AC83" s="10"/>
      <c r="AD83" s="10"/>
      <c r="AE83" s="10"/>
    </row>
    <row r="84" spans="1:31" s="173" customFormat="1">
      <c r="A84" s="1">
        <v>2238</v>
      </c>
      <c r="B84" s="2" t="s">
        <v>35</v>
      </c>
      <c r="C84" s="3" t="s">
        <v>30</v>
      </c>
      <c r="D84" s="4" t="s">
        <v>99</v>
      </c>
      <c r="E84" s="2" t="s">
        <v>100</v>
      </c>
      <c r="F84" s="2" t="s">
        <v>132</v>
      </c>
      <c r="G84" s="2" t="s">
        <v>133</v>
      </c>
      <c r="H84" s="2" t="s">
        <v>134</v>
      </c>
      <c r="I84" s="2" t="s">
        <v>135</v>
      </c>
      <c r="J84" s="60">
        <v>30</v>
      </c>
      <c r="K84" s="56" t="s">
        <v>13</v>
      </c>
      <c r="L84" s="13">
        <v>5.4000000000000003E-3</v>
      </c>
      <c r="M84" s="67" t="s">
        <v>159</v>
      </c>
      <c r="N84" s="64" t="s">
        <v>16</v>
      </c>
      <c r="O84" s="6" t="s">
        <v>16</v>
      </c>
      <c r="P84" s="76" t="s">
        <v>16</v>
      </c>
      <c r="Q84" s="71" t="s">
        <v>11</v>
      </c>
      <c r="R84" s="8" t="s">
        <v>138</v>
      </c>
      <c r="S84" s="88" t="s">
        <v>160</v>
      </c>
      <c r="T84" s="82" t="s">
        <v>108</v>
      </c>
      <c r="U84" s="49" t="s">
        <v>151</v>
      </c>
      <c r="V84" s="99" t="s">
        <v>161</v>
      </c>
      <c r="W84" s="94" t="s">
        <v>142</v>
      </c>
      <c r="X84" s="10" t="s">
        <v>143</v>
      </c>
      <c r="Y84" s="10" t="s">
        <v>144</v>
      </c>
      <c r="Z84" s="11" t="s">
        <v>16</v>
      </c>
      <c r="AA84" s="105" t="s">
        <v>16</v>
      </c>
      <c r="AB84" s="94" t="s">
        <v>145</v>
      </c>
      <c r="AC84" s="10" t="s">
        <v>146</v>
      </c>
      <c r="AD84" s="10" t="s">
        <v>147</v>
      </c>
      <c r="AE84" s="10"/>
    </row>
    <row r="85" spans="1:31" s="173" customFormat="1">
      <c r="A85" s="1">
        <v>2243</v>
      </c>
      <c r="B85" s="2" t="s">
        <v>36</v>
      </c>
      <c r="C85" s="3" t="s">
        <v>36</v>
      </c>
      <c r="D85" s="4" t="s">
        <v>99</v>
      </c>
      <c r="E85" s="2" t="s">
        <v>100</v>
      </c>
      <c r="F85" s="2" t="s">
        <v>553</v>
      </c>
      <c r="G85" s="2" t="s">
        <v>554</v>
      </c>
      <c r="H85" s="2" t="s">
        <v>352</v>
      </c>
      <c r="I85" s="2" t="s">
        <v>555</v>
      </c>
      <c r="J85" s="60">
        <v>15</v>
      </c>
      <c r="K85" s="56" t="s">
        <v>13</v>
      </c>
      <c r="L85" s="13">
        <v>6.0000000000000001E-3</v>
      </c>
      <c r="M85" s="67" t="s">
        <v>556</v>
      </c>
      <c r="N85" s="64" t="s">
        <v>106</v>
      </c>
      <c r="O85" s="47" t="s">
        <v>93</v>
      </c>
      <c r="P85" s="78">
        <v>993</v>
      </c>
      <c r="Q85" s="71" t="s">
        <v>11</v>
      </c>
      <c r="R85" s="50" t="s">
        <v>93</v>
      </c>
      <c r="S85" s="93" t="s">
        <v>557</v>
      </c>
      <c r="T85" s="82" t="s">
        <v>108</v>
      </c>
      <c r="U85" s="49" t="s">
        <v>93</v>
      </c>
      <c r="V85" s="98" t="s">
        <v>558</v>
      </c>
      <c r="W85" s="94" t="s">
        <v>110</v>
      </c>
      <c r="X85" s="11" t="s">
        <v>16</v>
      </c>
      <c r="Y85" s="11" t="s">
        <v>16</v>
      </c>
      <c r="Z85" s="11" t="s">
        <v>16</v>
      </c>
      <c r="AA85" s="105" t="s">
        <v>16</v>
      </c>
      <c r="AB85" s="94" t="s">
        <v>559</v>
      </c>
      <c r="AC85" s="10" t="s">
        <v>560</v>
      </c>
      <c r="AD85" s="10"/>
      <c r="AE85" s="10"/>
    </row>
    <row r="86" spans="1:31" s="173" customFormat="1">
      <c r="A86" s="1">
        <v>2248</v>
      </c>
      <c r="B86" s="2" t="s">
        <v>36</v>
      </c>
      <c r="C86" s="3" t="s">
        <v>36</v>
      </c>
      <c r="D86" s="4" t="s">
        <v>99</v>
      </c>
      <c r="E86" s="2" t="s">
        <v>100</v>
      </c>
      <c r="F86" s="2" t="s">
        <v>553</v>
      </c>
      <c r="G86" s="2" t="s">
        <v>554</v>
      </c>
      <c r="H86" s="2" t="s">
        <v>352</v>
      </c>
      <c r="I86" s="2" t="s">
        <v>555</v>
      </c>
      <c r="J86" s="60">
        <v>15</v>
      </c>
      <c r="K86" s="56" t="s">
        <v>13</v>
      </c>
      <c r="L86" s="13">
        <v>6.0000000000000001E-3</v>
      </c>
      <c r="M86" s="67" t="s">
        <v>561</v>
      </c>
      <c r="N86" s="64" t="s">
        <v>106</v>
      </c>
      <c r="O86" s="47" t="s">
        <v>93</v>
      </c>
      <c r="P86" s="78">
        <v>993</v>
      </c>
      <c r="Q86" s="71" t="s">
        <v>11</v>
      </c>
      <c r="R86" s="50" t="s">
        <v>93</v>
      </c>
      <c r="S86" s="93" t="s">
        <v>562</v>
      </c>
      <c r="T86" s="82" t="s">
        <v>108</v>
      </c>
      <c r="U86" s="49" t="s">
        <v>93</v>
      </c>
      <c r="V86" s="98" t="s">
        <v>563</v>
      </c>
      <c r="W86" s="94" t="s">
        <v>110</v>
      </c>
      <c r="X86" s="11" t="s">
        <v>16</v>
      </c>
      <c r="Y86" s="11" t="s">
        <v>16</v>
      </c>
      <c r="Z86" s="11" t="s">
        <v>16</v>
      </c>
      <c r="AA86" s="105" t="s">
        <v>16</v>
      </c>
      <c r="AB86" s="94" t="s">
        <v>559</v>
      </c>
      <c r="AC86" s="10" t="s">
        <v>560</v>
      </c>
      <c r="AD86" s="10"/>
      <c r="AE86" s="10"/>
    </row>
    <row r="87" spans="1:31" s="173" customFormat="1">
      <c r="A87" s="1">
        <v>2249</v>
      </c>
      <c r="B87" s="2" t="s">
        <v>36</v>
      </c>
      <c r="C87" s="3" t="s">
        <v>36</v>
      </c>
      <c r="D87" s="4" t="s">
        <v>99</v>
      </c>
      <c r="E87" s="2" t="s">
        <v>100</v>
      </c>
      <c r="F87" s="2" t="s">
        <v>553</v>
      </c>
      <c r="G87" s="2" t="s">
        <v>554</v>
      </c>
      <c r="H87" s="2" t="s">
        <v>352</v>
      </c>
      <c r="I87" s="2" t="s">
        <v>555</v>
      </c>
      <c r="J87" s="60">
        <v>15</v>
      </c>
      <c r="K87" s="56" t="s">
        <v>13</v>
      </c>
      <c r="L87" s="13">
        <v>6.0000000000000001E-3</v>
      </c>
      <c r="M87" s="67" t="s">
        <v>564</v>
      </c>
      <c r="N87" s="64" t="s">
        <v>106</v>
      </c>
      <c r="O87" s="47" t="s">
        <v>93</v>
      </c>
      <c r="P87" s="78">
        <v>993</v>
      </c>
      <c r="Q87" s="71" t="s">
        <v>11</v>
      </c>
      <c r="R87" s="50" t="s">
        <v>93</v>
      </c>
      <c r="S87" s="93" t="s">
        <v>565</v>
      </c>
      <c r="T87" s="82" t="s">
        <v>108</v>
      </c>
      <c r="U87" s="49" t="s">
        <v>93</v>
      </c>
      <c r="V87" s="98" t="s">
        <v>566</v>
      </c>
      <c r="W87" s="94" t="s">
        <v>110</v>
      </c>
      <c r="X87" s="11" t="s">
        <v>16</v>
      </c>
      <c r="Y87" s="11" t="s">
        <v>16</v>
      </c>
      <c r="Z87" s="11" t="s">
        <v>16</v>
      </c>
      <c r="AA87" s="105" t="s">
        <v>16</v>
      </c>
      <c r="AB87" s="94" t="s">
        <v>559</v>
      </c>
      <c r="AC87" s="10" t="s">
        <v>560</v>
      </c>
      <c r="AD87" s="10"/>
      <c r="AE87" s="10"/>
    </row>
    <row r="88" spans="1:31" s="173" customFormat="1">
      <c r="A88" s="1">
        <v>2250</v>
      </c>
      <c r="B88" s="2" t="s">
        <v>36</v>
      </c>
      <c r="C88" s="3" t="s">
        <v>36</v>
      </c>
      <c r="D88" s="4" t="s">
        <v>99</v>
      </c>
      <c r="E88" s="2" t="s">
        <v>100</v>
      </c>
      <c r="F88" s="2" t="s">
        <v>553</v>
      </c>
      <c r="G88" s="2" t="s">
        <v>554</v>
      </c>
      <c r="H88" s="2" t="s">
        <v>352</v>
      </c>
      <c r="I88" s="2" t="s">
        <v>555</v>
      </c>
      <c r="J88" s="60">
        <v>15</v>
      </c>
      <c r="K88" s="56" t="s">
        <v>13</v>
      </c>
      <c r="L88" s="13">
        <v>6.0000000000000001E-3</v>
      </c>
      <c r="M88" s="67" t="s">
        <v>567</v>
      </c>
      <c r="N88" s="64" t="s">
        <v>106</v>
      </c>
      <c r="O88" s="47" t="s">
        <v>93</v>
      </c>
      <c r="P88" s="78">
        <v>993</v>
      </c>
      <c r="Q88" s="71" t="s">
        <v>11</v>
      </c>
      <c r="R88" s="50" t="s">
        <v>93</v>
      </c>
      <c r="S88" s="93" t="s">
        <v>568</v>
      </c>
      <c r="T88" s="82" t="s">
        <v>108</v>
      </c>
      <c r="U88" s="49" t="s">
        <v>93</v>
      </c>
      <c r="V88" s="98" t="s">
        <v>569</v>
      </c>
      <c r="W88" s="94" t="s">
        <v>110</v>
      </c>
      <c r="X88" s="11" t="s">
        <v>16</v>
      </c>
      <c r="Y88" s="11" t="s">
        <v>16</v>
      </c>
      <c r="Z88" s="11" t="s">
        <v>16</v>
      </c>
      <c r="AA88" s="105" t="s">
        <v>16</v>
      </c>
      <c r="AB88" s="94" t="s">
        <v>559</v>
      </c>
      <c r="AC88" s="10" t="s">
        <v>560</v>
      </c>
      <c r="AD88" s="10"/>
      <c r="AE88" s="10"/>
    </row>
    <row r="89" spans="1:31" s="173" customFormat="1">
      <c r="A89" s="1">
        <v>2251</v>
      </c>
      <c r="B89" s="2" t="s">
        <v>36</v>
      </c>
      <c r="C89" s="3" t="s">
        <v>36</v>
      </c>
      <c r="D89" s="4" t="s">
        <v>99</v>
      </c>
      <c r="E89" s="2" t="s">
        <v>100</v>
      </c>
      <c r="F89" s="2" t="s">
        <v>553</v>
      </c>
      <c r="G89" s="2" t="s">
        <v>554</v>
      </c>
      <c r="H89" s="2" t="s">
        <v>352</v>
      </c>
      <c r="I89" s="2" t="s">
        <v>555</v>
      </c>
      <c r="J89" s="60">
        <v>15</v>
      </c>
      <c r="K89" s="56" t="s">
        <v>13</v>
      </c>
      <c r="L89" s="13">
        <v>6.0000000000000001E-3</v>
      </c>
      <c r="M89" s="67" t="s">
        <v>570</v>
      </c>
      <c r="N89" s="64" t="s">
        <v>106</v>
      </c>
      <c r="O89" s="47" t="s">
        <v>93</v>
      </c>
      <c r="P89" s="78">
        <v>993</v>
      </c>
      <c r="Q89" s="71" t="s">
        <v>11</v>
      </c>
      <c r="R89" s="50" t="s">
        <v>93</v>
      </c>
      <c r="S89" s="93" t="s">
        <v>571</v>
      </c>
      <c r="T89" s="82" t="s">
        <v>108</v>
      </c>
      <c r="U89" s="49" t="s">
        <v>93</v>
      </c>
      <c r="V89" s="98" t="s">
        <v>572</v>
      </c>
      <c r="W89" s="94" t="s">
        <v>110</v>
      </c>
      <c r="X89" s="11" t="s">
        <v>16</v>
      </c>
      <c r="Y89" s="11" t="s">
        <v>16</v>
      </c>
      <c r="Z89" s="11" t="s">
        <v>16</v>
      </c>
      <c r="AA89" s="105" t="s">
        <v>16</v>
      </c>
      <c r="AB89" s="94" t="s">
        <v>559</v>
      </c>
      <c r="AC89" s="10" t="s">
        <v>560</v>
      </c>
      <c r="AD89" s="10"/>
      <c r="AE89" s="10"/>
    </row>
    <row r="90" spans="1:31" s="173" customFormat="1">
      <c r="A90" s="1">
        <v>2254</v>
      </c>
      <c r="B90" s="2" t="s">
        <v>4</v>
      </c>
      <c r="C90" s="3" t="s">
        <v>4</v>
      </c>
      <c r="D90" s="4" t="s">
        <v>99</v>
      </c>
      <c r="E90" s="2" t="s">
        <v>92</v>
      </c>
      <c r="F90" s="2" t="s">
        <v>113</v>
      </c>
      <c r="G90" s="2" t="s">
        <v>315</v>
      </c>
      <c r="H90" s="2" t="s">
        <v>316</v>
      </c>
      <c r="I90" s="2" t="s">
        <v>174</v>
      </c>
      <c r="J90" s="62" t="s">
        <v>93</v>
      </c>
      <c r="K90" s="56" t="s">
        <v>13</v>
      </c>
      <c r="L90" s="13">
        <v>8.2000000000000007E-3</v>
      </c>
      <c r="M90" s="67" t="s">
        <v>317</v>
      </c>
      <c r="N90" s="64" t="s">
        <v>16</v>
      </c>
      <c r="O90" s="47" t="s">
        <v>16</v>
      </c>
      <c r="P90" s="76" t="s">
        <v>16</v>
      </c>
      <c r="Q90" s="71" t="s">
        <v>16</v>
      </c>
      <c r="R90" s="50" t="s">
        <v>16</v>
      </c>
      <c r="S90" s="87" t="s">
        <v>16</v>
      </c>
      <c r="T90" s="82" t="s">
        <v>16</v>
      </c>
      <c r="U90" s="49" t="s">
        <v>16</v>
      </c>
      <c r="V90" s="97" t="s">
        <v>16</v>
      </c>
      <c r="W90" s="94" t="s">
        <v>177</v>
      </c>
      <c r="X90" s="11" t="s">
        <v>16</v>
      </c>
      <c r="Y90" s="11" t="s">
        <v>16</v>
      </c>
      <c r="Z90" s="11" t="s">
        <v>16</v>
      </c>
      <c r="AA90" s="107" t="s">
        <v>16</v>
      </c>
      <c r="AB90" s="94" t="s">
        <v>318</v>
      </c>
      <c r="AC90" s="10" t="s">
        <v>319</v>
      </c>
      <c r="AD90" s="10" t="s">
        <v>320</v>
      </c>
      <c r="AE90" s="10"/>
    </row>
    <row r="91" spans="1:31" s="173" customFormat="1">
      <c r="A91" s="1">
        <v>2255</v>
      </c>
      <c r="B91" s="2" t="s">
        <v>4</v>
      </c>
      <c r="C91" s="3" t="s">
        <v>4</v>
      </c>
      <c r="D91" s="4" t="s">
        <v>99</v>
      </c>
      <c r="E91" s="2" t="s">
        <v>92</v>
      </c>
      <c r="F91" s="2" t="s">
        <v>113</v>
      </c>
      <c r="G91" s="2" t="s">
        <v>315</v>
      </c>
      <c r="H91" s="2" t="s">
        <v>316</v>
      </c>
      <c r="I91" s="2" t="s">
        <v>174</v>
      </c>
      <c r="J91" s="62" t="s">
        <v>93</v>
      </c>
      <c r="K91" s="56" t="s">
        <v>13</v>
      </c>
      <c r="L91" s="13">
        <v>8.2000000000000007E-3</v>
      </c>
      <c r="M91" s="67" t="s">
        <v>317</v>
      </c>
      <c r="N91" s="64" t="s">
        <v>16</v>
      </c>
      <c r="O91" s="47" t="s">
        <v>16</v>
      </c>
      <c r="P91" s="76" t="s">
        <v>16</v>
      </c>
      <c r="Q91" s="71" t="s">
        <v>16</v>
      </c>
      <c r="R91" s="50" t="s">
        <v>16</v>
      </c>
      <c r="S91" s="87" t="s">
        <v>16</v>
      </c>
      <c r="T91" s="82" t="s">
        <v>16</v>
      </c>
      <c r="U91" s="49" t="s">
        <v>16</v>
      </c>
      <c r="V91" s="97" t="s">
        <v>16</v>
      </c>
      <c r="W91" s="94" t="s">
        <v>177</v>
      </c>
      <c r="X91" s="11" t="s">
        <v>16</v>
      </c>
      <c r="Y91" s="11" t="s">
        <v>16</v>
      </c>
      <c r="Z91" s="11" t="s">
        <v>16</v>
      </c>
      <c r="AA91" s="107" t="s">
        <v>16</v>
      </c>
      <c r="AB91" s="94" t="s">
        <v>318</v>
      </c>
      <c r="AC91" s="10" t="s">
        <v>319</v>
      </c>
      <c r="AD91" s="10" t="s">
        <v>320</v>
      </c>
      <c r="AE91" s="10"/>
    </row>
    <row r="92" spans="1:31" s="173" customFormat="1">
      <c r="A92" s="1">
        <v>2256</v>
      </c>
      <c r="B92" s="2" t="s">
        <v>4</v>
      </c>
      <c r="C92" s="3" t="s">
        <v>4</v>
      </c>
      <c r="D92" s="4" t="s">
        <v>99</v>
      </c>
      <c r="E92" s="2" t="s">
        <v>92</v>
      </c>
      <c r="F92" s="2" t="s">
        <v>113</v>
      </c>
      <c r="G92" s="2" t="s">
        <v>315</v>
      </c>
      <c r="H92" s="2" t="s">
        <v>316</v>
      </c>
      <c r="I92" s="2" t="s">
        <v>174</v>
      </c>
      <c r="J92" s="62" t="s">
        <v>93</v>
      </c>
      <c r="K92" s="56" t="s">
        <v>13</v>
      </c>
      <c r="L92" s="13">
        <v>8.2000000000000007E-3</v>
      </c>
      <c r="M92" s="67" t="s">
        <v>317</v>
      </c>
      <c r="N92" s="64" t="s">
        <v>16</v>
      </c>
      <c r="O92" s="47" t="s">
        <v>16</v>
      </c>
      <c r="P92" s="76" t="s">
        <v>16</v>
      </c>
      <c r="Q92" s="71" t="s">
        <v>16</v>
      </c>
      <c r="R92" s="50" t="s">
        <v>16</v>
      </c>
      <c r="S92" s="87" t="s">
        <v>16</v>
      </c>
      <c r="T92" s="82" t="s">
        <v>16</v>
      </c>
      <c r="U92" s="49" t="s">
        <v>16</v>
      </c>
      <c r="V92" s="97" t="s">
        <v>16</v>
      </c>
      <c r="W92" s="94" t="s">
        <v>177</v>
      </c>
      <c r="X92" s="11" t="s">
        <v>16</v>
      </c>
      <c r="Y92" s="11" t="s">
        <v>16</v>
      </c>
      <c r="Z92" s="11" t="s">
        <v>16</v>
      </c>
      <c r="AA92" s="107" t="s">
        <v>16</v>
      </c>
      <c r="AB92" s="94" t="s">
        <v>318</v>
      </c>
      <c r="AC92" s="10" t="s">
        <v>319</v>
      </c>
      <c r="AD92" s="10" t="s">
        <v>320</v>
      </c>
      <c r="AE92" s="10"/>
    </row>
    <row r="93" spans="1:31" s="173" customFormat="1">
      <c r="A93" s="1">
        <v>2257</v>
      </c>
      <c r="B93" s="2" t="s">
        <v>4</v>
      </c>
      <c r="C93" s="3" t="s">
        <v>4</v>
      </c>
      <c r="D93" s="4" t="s">
        <v>99</v>
      </c>
      <c r="E93" s="2" t="s">
        <v>92</v>
      </c>
      <c r="F93" s="2" t="s">
        <v>113</v>
      </c>
      <c r="G93" s="2" t="s">
        <v>315</v>
      </c>
      <c r="H93" s="2" t="s">
        <v>316</v>
      </c>
      <c r="I93" s="2" t="s">
        <v>174</v>
      </c>
      <c r="J93" s="62" t="s">
        <v>93</v>
      </c>
      <c r="K93" s="56" t="s">
        <v>13</v>
      </c>
      <c r="L93" s="13">
        <v>8.2000000000000007E-3</v>
      </c>
      <c r="M93" s="67" t="s">
        <v>321</v>
      </c>
      <c r="N93" s="64" t="s">
        <v>16</v>
      </c>
      <c r="O93" s="47" t="s">
        <v>16</v>
      </c>
      <c r="P93" s="76" t="s">
        <v>16</v>
      </c>
      <c r="Q93" s="71" t="s">
        <v>16</v>
      </c>
      <c r="R93" s="50" t="s">
        <v>16</v>
      </c>
      <c r="S93" s="87" t="s">
        <v>16</v>
      </c>
      <c r="T93" s="82" t="s">
        <v>16</v>
      </c>
      <c r="U93" s="49" t="s">
        <v>16</v>
      </c>
      <c r="V93" s="97" t="s">
        <v>16</v>
      </c>
      <c r="W93" s="94" t="s">
        <v>177</v>
      </c>
      <c r="X93" s="11" t="s">
        <v>16</v>
      </c>
      <c r="Y93" s="11" t="s">
        <v>16</v>
      </c>
      <c r="Z93" s="11" t="s">
        <v>16</v>
      </c>
      <c r="AA93" s="107" t="s">
        <v>16</v>
      </c>
      <c r="AB93" s="94" t="s">
        <v>318</v>
      </c>
      <c r="AC93" s="10" t="s">
        <v>319</v>
      </c>
      <c r="AD93" s="10" t="s">
        <v>320</v>
      </c>
      <c r="AE93" s="10"/>
    </row>
    <row r="94" spans="1:31" s="173" customFormat="1">
      <c r="A94" s="1">
        <v>2262</v>
      </c>
      <c r="B94" s="2" t="s">
        <v>4</v>
      </c>
      <c r="C94" s="3" t="s">
        <v>4</v>
      </c>
      <c r="D94" s="4" t="s">
        <v>99</v>
      </c>
      <c r="E94" s="2" t="s">
        <v>92</v>
      </c>
      <c r="F94" s="2" t="s">
        <v>113</v>
      </c>
      <c r="G94" s="2" t="s">
        <v>315</v>
      </c>
      <c r="H94" s="2" t="s">
        <v>316</v>
      </c>
      <c r="I94" s="2" t="s">
        <v>174</v>
      </c>
      <c r="J94" s="62" t="s">
        <v>93</v>
      </c>
      <c r="K94" s="56" t="s">
        <v>13</v>
      </c>
      <c r="L94" s="13">
        <v>8.2000000000000007E-3</v>
      </c>
      <c r="M94" s="67" t="s">
        <v>322</v>
      </c>
      <c r="N94" s="64" t="s">
        <v>16</v>
      </c>
      <c r="O94" s="47" t="s">
        <v>16</v>
      </c>
      <c r="P94" s="76" t="s">
        <v>16</v>
      </c>
      <c r="Q94" s="71" t="s">
        <v>16</v>
      </c>
      <c r="R94" s="50" t="s">
        <v>16</v>
      </c>
      <c r="S94" s="87" t="s">
        <v>16</v>
      </c>
      <c r="T94" s="82" t="s">
        <v>16</v>
      </c>
      <c r="U94" s="49" t="s">
        <v>16</v>
      </c>
      <c r="V94" s="97" t="s">
        <v>16</v>
      </c>
      <c r="W94" s="94" t="s">
        <v>177</v>
      </c>
      <c r="X94" s="11" t="s">
        <v>16</v>
      </c>
      <c r="Y94" s="11" t="s">
        <v>16</v>
      </c>
      <c r="Z94" s="11" t="s">
        <v>16</v>
      </c>
      <c r="AA94" s="107" t="s">
        <v>16</v>
      </c>
      <c r="AB94" s="94" t="s">
        <v>318</v>
      </c>
      <c r="AC94" s="10" t="s">
        <v>319</v>
      </c>
      <c r="AD94" s="10" t="s">
        <v>320</v>
      </c>
      <c r="AE94" s="10"/>
    </row>
    <row r="95" spans="1:31" s="173" customFormat="1">
      <c r="A95" s="1">
        <v>2263</v>
      </c>
      <c r="B95" s="2" t="s">
        <v>4</v>
      </c>
      <c r="C95" s="3" t="s">
        <v>4</v>
      </c>
      <c r="D95" s="4" t="s">
        <v>99</v>
      </c>
      <c r="E95" s="2" t="s">
        <v>92</v>
      </c>
      <c r="F95" s="2" t="s">
        <v>113</v>
      </c>
      <c r="G95" s="2" t="s">
        <v>315</v>
      </c>
      <c r="H95" s="2" t="s">
        <v>316</v>
      </c>
      <c r="I95" s="2" t="s">
        <v>174</v>
      </c>
      <c r="J95" s="62" t="s">
        <v>93</v>
      </c>
      <c r="K95" s="56" t="s">
        <v>13</v>
      </c>
      <c r="L95" s="13">
        <v>8.2000000000000007E-3</v>
      </c>
      <c r="M95" s="67" t="s">
        <v>323</v>
      </c>
      <c r="N95" s="64" t="s">
        <v>16</v>
      </c>
      <c r="O95" s="47" t="s">
        <v>16</v>
      </c>
      <c r="P95" s="76" t="s">
        <v>16</v>
      </c>
      <c r="Q95" s="71" t="s">
        <v>16</v>
      </c>
      <c r="R95" s="50" t="s">
        <v>16</v>
      </c>
      <c r="S95" s="87" t="s">
        <v>16</v>
      </c>
      <c r="T95" s="82" t="s">
        <v>16</v>
      </c>
      <c r="U95" s="49" t="s">
        <v>16</v>
      </c>
      <c r="V95" s="97" t="s">
        <v>16</v>
      </c>
      <c r="W95" s="94" t="s">
        <v>177</v>
      </c>
      <c r="X95" s="11" t="s">
        <v>16</v>
      </c>
      <c r="Y95" s="11" t="s">
        <v>16</v>
      </c>
      <c r="Z95" s="11" t="s">
        <v>16</v>
      </c>
      <c r="AA95" s="107" t="s">
        <v>16</v>
      </c>
      <c r="AB95" s="94" t="s">
        <v>318</v>
      </c>
      <c r="AC95" s="10" t="s">
        <v>319</v>
      </c>
      <c r="AD95" s="10" t="s">
        <v>320</v>
      </c>
      <c r="AE95" s="10"/>
    </row>
    <row r="96" spans="1:31" s="173" customFormat="1">
      <c r="A96" s="1">
        <v>2291</v>
      </c>
      <c r="B96" s="2" t="s">
        <v>4</v>
      </c>
      <c r="C96" s="3" t="s">
        <v>4</v>
      </c>
      <c r="D96" s="4" t="s">
        <v>99</v>
      </c>
      <c r="E96" s="2" t="s">
        <v>92</v>
      </c>
      <c r="F96" s="2" t="s">
        <v>113</v>
      </c>
      <c r="G96" s="2" t="s">
        <v>315</v>
      </c>
      <c r="H96" s="2" t="s">
        <v>316</v>
      </c>
      <c r="I96" s="2" t="s">
        <v>174</v>
      </c>
      <c r="J96" s="62" t="s">
        <v>93</v>
      </c>
      <c r="K96" s="56" t="s">
        <v>13</v>
      </c>
      <c r="L96" s="13">
        <v>8.2000000000000007E-3</v>
      </c>
      <c r="M96" s="67" t="s">
        <v>324</v>
      </c>
      <c r="N96" s="64" t="s">
        <v>16</v>
      </c>
      <c r="O96" s="47" t="s">
        <v>16</v>
      </c>
      <c r="P96" s="76" t="s">
        <v>16</v>
      </c>
      <c r="Q96" s="71" t="s">
        <v>16</v>
      </c>
      <c r="R96" s="50" t="s">
        <v>16</v>
      </c>
      <c r="S96" s="87" t="s">
        <v>16</v>
      </c>
      <c r="T96" s="82" t="s">
        <v>16</v>
      </c>
      <c r="U96" s="49" t="s">
        <v>16</v>
      </c>
      <c r="V96" s="97" t="s">
        <v>16</v>
      </c>
      <c r="W96" s="94" t="s">
        <v>177</v>
      </c>
      <c r="X96" s="11" t="s">
        <v>16</v>
      </c>
      <c r="Y96" s="11" t="s">
        <v>16</v>
      </c>
      <c r="Z96" s="11" t="s">
        <v>16</v>
      </c>
      <c r="AA96" s="107" t="s">
        <v>16</v>
      </c>
      <c r="AB96" s="94" t="s">
        <v>318</v>
      </c>
      <c r="AC96" s="10" t="s">
        <v>319</v>
      </c>
      <c r="AD96" s="10" t="s">
        <v>320</v>
      </c>
      <c r="AE96" s="10"/>
    </row>
    <row r="97" spans="1:31" s="173" customFormat="1">
      <c r="A97" s="1">
        <v>2292</v>
      </c>
      <c r="B97" s="2" t="s">
        <v>37</v>
      </c>
      <c r="C97" s="3" t="s">
        <v>37</v>
      </c>
      <c r="D97" s="4" t="s">
        <v>99</v>
      </c>
      <c r="E97" s="2" t="s">
        <v>193</v>
      </c>
      <c r="F97" s="2" t="s">
        <v>194</v>
      </c>
      <c r="G97" s="17" t="s">
        <v>345</v>
      </c>
      <c r="H97" s="17" t="s">
        <v>346</v>
      </c>
      <c r="I97" s="44" t="s">
        <v>93</v>
      </c>
      <c r="J97" s="62">
        <v>0.48</v>
      </c>
      <c r="K97" s="56" t="s">
        <v>13</v>
      </c>
      <c r="L97" s="13" t="s">
        <v>93</v>
      </c>
      <c r="M97" s="67" t="s">
        <v>347</v>
      </c>
      <c r="N97" s="64" t="s">
        <v>16</v>
      </c>
      <c r="O97" s="47" t="s">
        <v>16</v>
      </c>
      <c r="P97" s="76" t="s">
        <v>16</v>
      </c>
      <c r="Q97" s="71" t="s">
        <v>16</v>
      </c>
      <c r="R97" s="50" t="s">
        <v>16</v>
      </c>
      <c r="S97" s="87" t="s">
        <v>16</v>
      </c>
      <c r="T97" s="82" t="s">
        <v>16</v>
      </c>
      <c r="U97" s="49" t="s">
        <v>16</v>
      </c>
      <c r="V97" s="97" t="s">
        <v>16</v>
      </c>
      <c r="W97" s="96" t="s">
        <v>348</v>
      </c>
      <c r="X97" s="11" t="s">
        <v>16</v>
      </c>
      <c r="Y97" s="11" t="s">
        <v>16</v>
      </c>
      <c r="Z97" s="11" t="s">
        <v>16</v>
      </c>
      <c r="AA97" s="107" t="s">
        <v>16</v>
      </c>
      <c r="AB97" s="94" t="s">
        <v>349</v>
      </c>
      <c r="AC97" s="10"/>
      <c r="AD97" s="10"/>
      <c r="AE97" s="10"/>
    </row>
    <row r="98" spans="1:31" s="173" customFormat="1">
      <c r="A98" s="1">
        <v>2293</v>
      </c>
      <c r="B98" s="2" t="s">
        <v>37</v>
      </c>
      <c r="C98" s="3" t="s">
        <v>37</v>
      </c>
      <c r="D98" s="4" t="s">
        <v>99</v>
      </c>
      <c r="E98" s="2" t="s">
        <v>193</v>
      </c>
      <c r="F98" s="2" t="s">
        <v>194</v>
      </c>
      <c r="G98" s="17" t="s">
        <v>345</v>
      </c>
      <c r="H98" s="17" t="s">
        <v>346</v>
      </c>
      <c r="I98" s="44" t="s">
        <v>93</v>
      </c>
      <c r="J98" s="62">
        <v>1.48</v>
      </c>
      <c r="K98" s="56" t="s">
        <v>13</v>
      </c>
      <c r="L98" s="13" t="s">
        <v>93</v>
      </c>
      <c r="M98" s="67" t="s">
        <v>350</v>
      </c>
      <c r="N98" s="64" t="s">
        <v>16</v>
      </c>
      <c r="O98" s="47" t="s">
        <v>16</v>
      </c>
      <c r="P98" s="76" t="s">
        <v>16</v>
      </c>
      <c r="Q98" s="71" t="s">
        <v>16</v>
      </c>
      <c r="R98" s="50" t="s">
        <v>16</v>
      </c>
      <c r="S98" s="87" t="s">
        <v>16</v>
      </c>
      <c r="T98" s="82" t="s">
        <v>16</v>
      </c>
      <c r="U98" s="49" t="s">
        <v>16</v>
      </c>
      <c r="V98" s="97" t="s">
        <v>16</v>
      </c>
      <c r="W98" s="96" t="s">
        <v>348</v>
      </c>
      <c r="X98" s="11" t="s">
        <v>16</v>
      </c>
      <c r="Y98" s="11" t="s">
        <v>16</v>
      </c>
      <c r="Z98" s="11" t="s">
        <v>16</v>
      </c>
      <c r="AA98" s="107" t="s">
        <v>16</v>
      </c>
      <c r="AB98" s="94" t="s">
        <v>349</v>
      </c>
      <c r="AC98" s="10"/>
      <c r="AD98" s="10"/>
      <c r="AE98" s="10"/>
    </row>
    <row r="99" spans="1:31" s="173" customFormat="1">
      <c r="A99" s="1">
        <v>2297</v>
      </c>
      <c r="B99" s="2" t="s">
        <v>495</v>
      </c>
      <c r="C99" s="3" t="s">
        <v>495</v>
      </c>
      <c r="D99" s="4" t="s">
        <v>496</v>
      </c>
      <c r="E99" s="2" t="s">
        <v>193</v>
      </c>
      <c r="F99" s="51" t="s">
        <v>93</v>
      </c>
      <c r="G99" s="17" t="s">
        <v>497</v>
      </c>
      <c r="H99" s="17" t="s">
        <v>498</v>
      </c>
      <c r="I99" s="51" t="s">
        <v>93</v>
      </c>
      <c r="J99" s="62" t="s">
        <v>93</v>
      </c>
      <c r="K99" s="36" t="s">
        <v>13</v>
      </c>
      <c r="L99" s="43" t="s">
        <v>93</v>
      </c>
      <c r="M99" s="67" t="s">
        <v>93</v>
      </c>
      <c r="N99" s="64" t="s">
        <v>16</v>
      </c>
      <c r="O99" s="6" t="s">
        <v>16</v>
      </c>
      <c r="P99" s="81" t="s">
        <v>16</v>
      </c>
      <c r="Q99" s="71" t="s">
        <v>16</v>
      </c>
      <c r="R99" s="8" t="s">
        <v>16</v>
      </c>
      <c r="S99" s="91" t="s">
        <v>16</v>
      </c>
      <c r="T99" s="82" t="s">
        <v>16</v>
      </c>
      <c r="U99" s="9" t="s">
        <v>16</v>
      </c>
      <c r="V99" s="102" t="s">
        <v>16</v>
      </c>
      <c r="W99" s="33" t="s">
        <v>93</v>
      </c>
      <c r="X99" s="11" t="s">
        <v>16</v>
      </c>
      <c r="Y99" s="11" t="s">
        <v>16</v>
      </c>
      <c r="Z99" s="11" t="s">
        <v>16</v>
      </c>
      <c r="AA99" s="105" t="s">
        <v>16</v>
      </c>
      <c r="AB99" s="94" t="s">
        <v>499</v>
      </c>
      <c r="AC99" s="10" t="s">
        <v>500</v>
      </c>
      <c r="AD99" s="10"/>
      <c r="AE99" s="10"/>
    </row>
    <row r="100" spans="1:31" s="173" customFormat="1">
      <c r="A100" s="1">
        <v>2299</v>
      </c>
      <c r="B100" s="2" t="s">
        <v>38</v>
      </c>
      <c r="C100" s="3" t="s">
        <v>327</v>
      </c>
      <c r="D100" s="4" t="s">
        <v>328</v>
      </c>
      <c r="E100" s="2" t="s">
        <v>16</v>
      </c>
      <c r="F100" s="2" t="s">
        <v>329</v>
      </c>
      <c r="G100" s="17" t="s">
        <v>330</v>
      </c>
      <c r="H100" s="17" t="s">
        <v>331</v>
      </c>
      <c r="I100" s="2" t="s">
        <v>332</v>
      </c>
      <c r="J100" s="63">
        <v>0.5</v>
      </c>
      <c r="K100" s="36" t="s">
        <v>93</v>
      </c>
      <c r="L100" s="5" t="s">
        <v>93</v>
      </c>
      <c r="M100" s="66" t="s">
        <v>93</v>
      </c>
      <c r="N100" s="64" t="s">
        <v>16</v>
      </c>
      <c r="O100" s="47" t="s">
        <v>16</v>
      </c>
      <c r="P100" s="77" t="s">
        <v>137</v>
      </c>
      <c r="Q100" s="71" t="s">
        <v>11</v>
      </c>
      <c r="R100" s="26" t="s">
        <v>333</v>
      </c>
      <c r="S100" s="90" t="s">
        <v>334</v>
      </c>
      <c r="T100" s="82" t="s">
        <v>108</v>
      </c>
      <c r="U100" s="27" t="s">
        <v>335</v>
      </c>
      <c r="V100" s="97" t="s">
        <v>93</v>
      </c>
      <c r="W100" s="94" t="s">
        <v>336</v>
      </c>
      <c r="X100" s="11" t="s">
        <v>16</v>
      </c>
      <c r="Y100" s="11" t="s">
        <v>16</v>
      </c>
      <c r="Z100" s="11" t="s">
        <v>16</v>
      </c>
      <c r="AA100" s="107" t="s">
        <v>16</v>
      </c>
      <c r="AB100" s="94" t="s">
        <v>337</v>
      </c>
      <c r="AC100" s="10"/>
      <c r="AD100" s="10"/>
      <c r="AE100" s="10"/>
    </row>
    <row r="101" spans="1:31" s="173" customFormat="1">
      <c r="A101" s="1">
        <v>2354</v>
      </c>
      <c r="B101" s="2" t="s">
        <v>38</v>
      </c>
      <c r="C101" s="3" t="s">
        <v>327</v>
      </c>
      <c r="D101" s="4" t="s">
        <v>328</v>
      </c>
      <c r="E101" s="2" t="s">
        <v>16</v>
      </c>
      <c r="F101" s="2" t="s">
        <v>329</v>
      </c>
      <c r="G101" s="17" t="s">
        <v>330</v>
      </c>
      <c r="H101" s="17" t="s">
        <v>331</v>
      </c>
      <c r="I101" s="2" t="s">
        <v>332</v>
      </c>
      <c r="J101" s="63">
        <v>1.5</v>
      </c>
      <c r="K101" s="36" t="s">
        <v>93</v>
      </c>
      <c r="L101" s="5" t="s">
        <v>93</v>
      </c>
      <c r="M101" s="66" t="s">
        <v>93</v>
      </c>
      <c r="N101" s="64" t="s">
        <v>16</v>
      </c>
      <c r="O101" s="47" t="s">
        <v>16</v>
      </c>
      <c r="P101" s="77" t="s">
        <v>137</v>
      </c>
      <c r="Q101" s="71" t="s">
        <v>11</v>
      </c>
      <c r="R101" s="26" t="s">
        <v>333</v>
      </c>
      <c r="S101" s="90" t="s">
        <v>334</v>
      </c>
      <c r="T101" s="82" t="s">
        <v>108</v>
      </c>
      <c r="U101" s="27" t="s">
        <v>335</v>
      </c>
      <c r="V101" s="97" t="s">
        <v>93</v>
      </c>
      <c r="W101" s="94" t="s">
        <v>336</v>
      </c>
      <c r="X101" s="11" t="s">
        <v>16</v>
      </c>
      <c r="Y101" s="11" t="s">
        <v>16</v>
      </c>
      <c r="Z101" s="11" t="s">
        <v>16</v>
      </c>
      <c r="AA101" s="107" t="s">
        <v>16</v>
      </c>
      <c r="AB101" s="94" t="s">
        <v>337</v>
      </c>
      <c r="AC101" s="10"/>
      <c r="AD101" s="10"/>
      <c r="AE101" s="10"/>
    </row>
    <row r="102" spans="1:31" s="173" customFormat="1">
      <c r="A102" s="1">
        <v>2355</v>
      </c>
      <c r="B102" s="2" t="s">
        <v>460</v>
      </c>
      <c r="C102" s="3" t="s">
        <v>460</v>
      </c>
      <c r="D102" s="4" t="s">
        <v>461</v>
      </c>
      <c r="E102" s="2" t="s">
        <v>193</v>
      </c>
      <c r="F102" s="51" t="s">
        <v>93</v>
      </c>
      <c r="G102" s="17" t="s">
        <v>462</v>
      </c>
      <c r="H102" s="17" t="s">
        <v>463</v>
      </c>
      <c r="I102" s="2" t="s">
        <v>464</v>
      </c>
      <c r="J102" s="62" t="s">
        <v>93</v>
      </c>
      <c r="K102" s="36" t="s">
        <v>13</v>
      </c>
      <c r="L102" s="43" t="s">
        <v>93</v>
      </c>
      <c r="M102" s="67" t="s">
        <v>93</v>
      </c>
      <c r="N102" s="64" t="s">
        <v>16</v>
      </c>
      <c r="O102" s="6" t="s">
        <v>16</v>
      </c>
      <c r="P102" s="81" t="s">
        <v>16</v>
      </c>
      <c r="Q102" s="73" t="s">
        <v>16</v>
      </c>
      <c r="R102" s="26" t="s">
        <v>16</v>
      </c>
      <c r="S102" s="90" t="s">
        <v>16</v>
      </c>
      <c r="T102" s="84" t="s">
        <v>16</v>
      </c>
      <c r="U102" s="27" t="s">
        <v>16</v>
      </c>
      <c r="V102" s="100" t="s">
        <v>16</v>
      </c>
      <c r="W102" s="33" t="s">
        <v>93</v>
      </c>
      <c r="X102" s="11" t="s">
        <v>16</v>
      </c>
      <c r="Y102" s="11" t="s">
        <v>16</v>
      </c>
      <c r="Z102" s="11" t="s">
        <v>16</v>
      </c>
      <c r="AA102" s="105" t="s">
        <v>16</v>
      </c>
      <c r="AB102" s="94" t="s">
        <v>465</v>
      </c>
      <c r="AC102" s="10"/>
      <c r="AD102" s="10"/>
      <c r="AE102" s="10"/>
    </row>
    <row r="103" spans="1:31" s="173" customFormat="1">
      <c r="A103" s="1">
        <v>2356</v>
      </c>
      <c r="B103" s="2" t="s">
        <v>460</v>
      </c>
      <c r="C103" s="3" t="s">
        <v>460</v>
      </c>
      <c r="D103" s="4" t="s">
        <v>461</v>
      </c>
      <c r="E103" s="2" t="s">
        <v>193</v>
      </c>
      <c r="F103" s="51" t="s">
        <v>93</v>
      </c>
      <c r="G103" s="17" t="s">
        <v>466</v>
      </c>
      <c r="H103" s="17" t="s">
        <v>467</v>
      </c>
      <c r="I103" s="2" t="s">
        <v>464</v>
      </c>
      <c r="J103" s="62" t="s">
        <v>93</v>
      </c>
      <c r="K103" s="36" t="s">
        <v>13</v>
      </c>
      <c r="L103" s="43" t="s">
        <v>93</v>
      </c>
      <c r="M103" s="67" t="s">
        <v>93</v>
      </c>
      <c r="N103" s="64" t="s">
        <v>16</v>
      </c>
      <c r="O103" s="6" t="s">
        <v>16</v>
      </c>
      <c r="P103" s="81" t="s">
        <v>16</v>
      </c>
      <c r="Q103" s="73" t="s">
        <v>16</v>
      </c>
      <c r="R103" s="26" t="s">
        <v>16</v>
      </c>
      <c r="S103" s="90" t="s">
        <v>16</v>
      </c>
      <c r="T103" s="84" t="s">
        <v>16</v>
      </c>
      <c r="U103" s="27" t="s">
        <v>16</v>
      </c>
      <c r="V103" s="100" t="s">
        <v>16</v>
      </c>
      <c r="W103" s="33" t="s">
        <v>93</v>
      </c>
      <c r="X103" s="11" t="s">
        <v>16</v>
      </c>
      <c r="Y103" s="11" t="s">
        <v>16</v>
      </c>
      <c r="Z103" s="11" t="s">
        <v>16</v>
      </c>
      <c r="AA103" s="105" t="s">
        <v>16</v>
      </c>
      <c r="AB103" s="94" t="s">
        <v>465</v>
      </c>
      <c r="AC103" s="10"/>
      <c r="AD103" s="10"/>
      <c r="AE103" s="10"/>
    </row>
    <row r="104" spans="1:31" s="173" customFormat="1">
      <c r="A104" s="1">
        <v>2359</v>
      </c>
      <c r="B104" s="2" t="s">
        <v>27</v>
      </c>
      <c r="C104" s="3" t="s">
        <v>27</v>
      </c>
      <c r="D104" s="4" t="s">
        <v>99</v>
      </c>
      <c r="E104" s="2" t="s">
        <v>92</v>
      </c>
      <c r="F104" s="2" t="s">
        <v>210</v>
      </c>
      <c r="G104" s="2" t="s">
        <v>287</v>
      </c>
      <c r="H104" s="2" t="s">
        <v>288</v>
      </c>
      <c r="I104" s="2" t="s">
        <v>213</v>
      </c>
      <c r="J104" s="60">
        <v>4</v>
      </c>
      <c r="K104" s="56" t="s">
        <v>28</v>
      </c>
      <c r="L104" s="13">
        <v>0.27400000000000002</v>
      </c>
      <c r="M104" s="67" t="s">
        <v>289</v>
      </c>
      <c r="N104" s="64" t="s">
        <v>16</v>
      </c>
      <c r="O104" s="6" t="s">
        <v>16</v>
      </c>
      <c r="P104" s="76" t="s">
        <v>16</v>
      </c>
      <c r="Q104" s="71" t="s">
        <v>16</v>
      </c>
      <c r="R104" s="8" t="s">
        <v>16</v>
      </c>
      <c r="S104" s="87" t="s">
        <v>16</v>
      </c>
      <c r="T104" s="82" t="s">
        <v>16</v>
      </c>
      <c r="U104" s="49" t="s">
        <v>16</v>
      </c>
      <c r="V104" s="97" t="s">
        <v>16</v>
      </c>
      <c r="W104" s="94" t="s">
        <v>216</v>
      </c>
      <c r="X104" s="11" t="s">
        <v>16</v>
      </c>
      <c r="Y104" s="11" t="s">
        <v>16</v>
      </c>
      <c r="Z104" s="11" t="s">
        <v>16</v>
      </c>
      <c r="AA104" s="105" t="s">
        <v>16</v>
      </c>
      <c r="AB104" s="104" t="s">
        <v>290</v>
      </c>
      <c r="AC104" s="10"/>
      <c r="AD104" s="10"/>
      <c r="AE104" s="10" t="s">
        <v>192</v>
      </c>
    </row>
    <row r="105" spans="1:31" s="173" customFormat="1">
      <c r="A105" s="1">
        <v>2365</v>
      </c>
      <c r="B105" s="2" t="s">
        <v>39</v>
      </c>
      <c r="C105" s="3" t="s">
        <v>39</v>
      </c>
      <c r="D105" s="4" t="s">
        <v>99</v>
      </c>
      <c r="E105" s="2" t="s">
        <v>100</v>
      </c>
      <c r="F105" s="2" t="s">
        <v>279</v>
      </c>
      <c r="G105" s="17" t="s">
        <v>280</v>
      </c>
      <c r="H105" s="17" t="s">
        <v>281</v>
      </c>
      <c r="I105" s="2" t="s">
        <v>282</v>
      </c>
      <c r="J105" s="63">
        <v>1</v>
      </c>
      <c r="K105" s="36" t="s">
        <v>93</v>
      </c>
      <c r="L105" s="5" t="s">
        <v>93</v>
      </c>
      <c r="M105" s="66" t="s">
        <v>93</v>
      </c>
      <c r="N105" s="64" t="s">
        <v>16</v>
      </c>
      <c r="O105" s="6" t="s">
        <v>16</v>
      </c>
      <c r="P105" s="76" t="s">
        <v>16</v>
      </c>
      <c r="Q105" s="71" t="s">
        <v>11</v>
      </c>
      <c r="R105" s="8" t="s">
        <v>283</v>
      </c>
      <c r="S105" s="90">
        <v>4564</v>
      </c>
      <c r="T105" s="82" t="s">
        <v>108</v>
      </c>
      <c r="U105" s="9" t="s">
        <v>284</v>
      </c>
      <c r="V105" s="97" t="s">
        <v>93</v>
      </c>
      <c r="W105" s="94" t="s">
        <v>285</v>
      </c>
      <c r="X105" s="11" t="s">
        <v>16</v>
      </c>
      <c r="Y105" s="11" t="s">
        <v>16</v>
      </c>
      <c r="Z105" s="11" t="s">
        <v>16</v>
      </c>
      <c r="AA105" s="105" t="s">
        <v>16</v>
      </c>
      <c r="AB105" s="94" t="s">
        <v>286</v>
      </c>
      <c r="AC105" s="10"/>
      <c r="AD105" s="10"/>
      <c r="AE105" s="10"/>
    </row>
    <row r="106" spans="1:31" s="173" customFormat="1">
      <c r="A106" s="1">
        <v>2479</v>
      </c>
      <c r="B106" s="2" t="s">
        <v>5</v>
      </c>
      <c r="C106" s="3" t="s">
        <v>5</v>
      </c>
      <c r="D106" s="4" t="s">
        <v>99</v>
      </c>
      <c r="E106" s="2" t="s">
        <v>92</v>
      </c>
      <c r="F106" s="2" t="s">
        <v>329</v>
      </c>
      <c r="G106" s="2" t="s">
        <v>365</v>
      </c>
      <c r="H106" s="2" t="s">
        <v>366</v>
      </c>
      <c r="I106" s="2" t="s">
        <v>367</v>
      </c>
      <c r="J106" s="62" t="s">
        <v>93</v>
      </c>
      <c r="K106" s="56" t="s">
        <v>13</v>
      </c>
      <c r="L106" s="43" t="s">
        <v>93</v>
      </c>
      <c r="M106" s="67" t="s">
        <v>93</v>
      </c>
      <c r="N106" s="64" t="s">
        <v>16</v>
      </c>
      <c r="O106" s="47" t="s">
        <v>16</v>
      </c>
      <c r="P106" s="76" t="s">
        <v>16</v>
      </c>
      <c r="Q106" s="71" t="s">
        <v>16</v>
      </c>
      <c r="R106" s="50" t="s">
        <v>16</v>
      </c>
      <c r="S106" s="87" t="s">
        <v>16</v>
      </c>
      <c r="T106" s="82" t="s">
        <v>16</v>
      </c>
      <c r="U106" s="49" t="s">
        <v>16</v>
      </c>
      <c r="V106" s="97" t="s">
        <v>16</v>
      </c>
      <c r="W106" s="94" t="s">
        <v>368</v>
      </c>
      <c r="X106" s="11" t="s">
        <v>16</v>
      </c>
      <c r="Y106" s="11" t="s">
        <v>16</v>
      </c>
      <c r="Z106" s="11" t="s">
        <v>16</v>
      </c>
      <c r="AA106" s="105" t="s">
        <v>16</v>
      </c>
      <c r="AB106" s="94"/>
      <c r="AC106" s="10"/>
      <c r="AD106" s="10"/>
      <c r="AE106" s="10"/>
    </row>
    <row r="107" spans="1:31" s="173" customFormat="1">
      <c r="A107" s="1">
        <v>2480</v>
      </c>
      <c r="B107" s="2" t="s">
        <v>5</v>
      </c>
      <c r="C107" s="3" t="s">
        <v>5</v>
      </c>
      <c r="D107" s="4" t="s">
        <v>99</v>
      </c>
      <c r="E107" s="2" t="s">
        <v>92</v>
      </c>
      <c r="F107" s="2" t="s">
        <v>329</v>
      </c>
      <c r="G107" s="2" t="s">
        <v>365</v>
      </c>
      <c r="H107" s="2" t="s">
        <v>366</v>
      </c>
      <c r="I107" s="2" t="s">
        <v>367</v>
      </c>
      <c r="J107" s="62" t="s">
        <v>93</v>
      </c>
      <c r="K107" s="56" t="s">
        <v>13</v>
      </c>
      <c r="L107" s="43" t="s">
        <v>93</v>
      </c>
      <c r="M107" s="67" t="s">
        <v>93</v>
      </c>
      <c r="N107" s="64" t="s">
        <v>16</v>
      </c>
      <c r="O107" s="47" t="s">
        <v>16</v>
      </c>
      <c r="P107" s="76" t="s">
        <v>16</v>
      </c>
      <c r="Q107" s="71" t="s">
        <v>16</v>
      </c>
      <c r="R107" s="50" t="s">
        <v>16</v>
      </c>
      <c r="S107" s="87" t="s">
        <v>16</v>
      </c>
      <c r="T107" s="82" t="s">
        <v>16</v>
      </c>
      <c r="U107" s="49" t="s">
        <v>16</v>
      </c>
      <c r="V107" s="97" t="s">
        <v>16</v>
      </c>
      <c r="W107" s="94" t="s">
        <v>368</v>
      </c>
      <c r="X107" s="11" t="s">
        <v>16</v>
      </c>
      <c r="Y107" s="11" t="s">
        <v>16</v>
      </c>
      <c r="Z107" s="11" t="s">
        <v>16</v>
      </c>
      <c r="AA107" s="105" t="s">
        <v>16</v>
      </c>
      <c r="AB107" s="94"/>
      <c r="AC107" s="10"/>
      <c r="AD107" s="10"/>
      <c r="AE107" s="10"/>
    </row>
    <row r="108" spans="1:31" s="173" customFormat="1">
      <c r="A108" s="1">
        <v>2481</v>
      </c>
      <c r="B108" s="2" t="s">
        <v>40</v>
      </c>
      <c r="C108" s="3" t="s">
        <v>40</v>
      </c>
      <c r="D108" s="4" t="s">
        <v>99</v>
      </c>
      <c r="E108" s="2" t="s">
        <v>92</v>
      </c>
      <c r="F108" s="2" t="s">
        <v>329</v>
      </c>
      <c r="G108" s="2" t="s">
        <v>351</v>
      </c>
      <c r="H108" s="2" t="s">
        <v>352</v>
      </c>
      <c r="I108" s="2" t="s">
        <v>353</v>
      </c>
      <c r="J108" s="60">
        <v>70</v>
      </c>
      <c r="K108" s="56" t="s">
        <v>13</v>
      </c>
      <c r="L108" s="13">
        <v>3.0000000000000001E-3</v>
      </c>
      <c r="M108" s="67" t="s">
        <v>354</v>
      </c>
      <c r="N108" s="64" t="s">
        <v>16</v>
      </c>
      <c r="O108" s="47" t="s">
        <v>16</v>
      </c>
      <c r="P108" s="76" t="s">
        <v>16</v>
      </c>
      <c r="Q108" s="71" t="s">
        <v>16</v>
      </c>
      <c r="R108" s="50" t="s">
        <v>16</v>
      </c>
      <c r="S108" s="87" t="s">
        <v>16</v>
      </c>
      <c r="T108" s="82" t="s">
        <v>16</v>
      </c>
      <c r="U108" s="49" t="s">
        <v>16</v>
      </c>
      <c r="V108" s="97" t="s">
        <v>16</v>
      </c>
      <c r="W108" s="94" t="s">
        <v>355</v>
      </c>
      <c r="X108" s="11" t="s">
        <v>16</v>
      </c>
      <c r="Y108" s="11" t="s">
        <v>16</v>
      </c>
      <c r="Z108" s="11" t="s">
        <v>16</v>
      </c>
      <c r="AA108" s="105" t="s">
        <v>16</v>
      </c>
      <c r="AB108" s="94" t="s">
        <v>356</v>
      </c>
      <c r="AC108" s="10"/>
      <c r="AD108" s="10"/>
      <c r="AE108" s="10"/>
    </row>
    <row r="109" spans="1:31" s="173" customFormat="1">
      <c r="A109" s="1">
        <v>2496</v>
      </c>
      <c r="B109" s="2" t="s">
        <v>41</v>
      </c>
      <c r="C109" s="3" t="s">
        <v>41</v>
      </c>
      <c r="D109" s="4" t="s">
        <v>99</v>
      </c>
      <c r="E109" s="2" t="s">
        <v>92</v>
      </c>
      <c r="F109" s="2" t="s">
        <v>113</v>
      </c>
      <c r="G109" s="2" t="s">
        <v>325</v>
      </c>
      <c r="H109" s="2" t="s">
        <v>326</v>
      </c>
      <c r="I109" s="2" t="s">
        <v>104</v>
      </c>
      <c r="J109" s="60">
        <v>40</v>
      </c>
      <c r="K109" s="56" t="s">
        <v>13</v>
      </c>
      <c r="L109" s="13">
        <v>3.5000000000000001E-3</v>
      </c>
      <c r="M109" s="67">
        <v>107247</v>
      </c>
      <c r="N109" s="64" t="s">
        <v>16</v>
      </c>
      <c r="O109" s="6" t="s">
        <v>16</v>
      </c>
      <c r="P109" s="76" t="s">
        <v>16</v>
      </c>
      <c r="Q109" s="71" t="s">
        <v>16</v>
      </c>
      <c r="R109" s="8" t="s">
        <v>16</v>
      </c>
      <c r="S109" s="87" t="s">
        <v>16</v>
      </c>
      <c r="T109" s="82" t="s">
        <v>16</v>
      </c>
      <c r="U109" s="49" t="s">
        <v>16</v>
      </c>
      <c r="V109" s="97" t="s">
        <v>16</v>
      </c>
      <c r="W109" s="94" t="s">
        <v>110</v>
      </c>
      <c r="X109" s="11" t="s">
        <v>16</v>
      </c>
      <c r="Y109" s="11" t="s">
        <v>16</v>
      </c>
      <c r="Z109" s="11" t="s">
        <v>16</v>
      </c>
      <c r="AA109" s="105" t="s">
        <v>16</v>
      </c>
      <c r="AB109" s="94" t="s">
        <v>111</v>
      </c>
      <c r="AC109" s="10"/>
      <c r="AD109" s="10"/>
      <c r="AE109" s="10"/>
    </row>
    <row r="110" spans="1:31" s="173" customFormat="1">
      <c r="A110" s="1">
        <v>2503</v>
      </c>
      <c r="B110" s="2" t="s">
        <v>5</v>
      </c>
      <c r="C110" s="3" t="s">
        <v>5</v>
      </c>
      <c r="D110" s="4" t="s">
        <v>99</v>
      </c>
      <c r="E110" s="2" t="s">
        <v>92</v>
      </c>
      <c r="F110" s="2" t="s">
        <v>329</v>
      </c>
      <c r="G110" s="2" t="s">
        <v>365</v>
      </c>
      <c r="H110" s="2" t="s">
        <v>366</v>
      </c>
      <c r="I110" s="2" t="s">
        <v>367</v>
      </c>
      <c r="J110" s="62" t="s">
        <v>93</v>
      </c>
      <c r="K110" s="56" t="s">
        <v>13</v>
      </c>
      <c r="L110" s="43" t="s">
        <v>93</v>
      </c>
      <c r="M110" s="67" t="s">
        <v>93</v>
      </c>
      <c r="N110" s="64" t="s">
        <v>16</v>
      </c>
      <c r="O110" s="47" t="s">
        <v>16</v>
      </c>
      <c r="P110" s="76" t="s">
        <v>16</v>
      </c>
      <c r="Q110" s="71" t="s">
        <v>16</v>
      </c>
      <c r="R110" s="50" t="s">
        <v>16</v>
      </c>
      <c r="S110" s="87" t="s">
        <v>16</v>
      </c>
      <c r="T110" s="82" t="s">
        <v>16</v>
      </c>
      <c r="U110" s="49" t="s">
        <v>16</v>
      </c>
      <c r="V110" s="97" t="s">
        <v>16</v>
      </c>
      <c r="W110" s="94" t="s">
        <v>368</v>
      </c>
      <c r="X110" s="11" t="s">
        <v>16</v>
      </c>
      <c r="Y110" s="11" t="s">
        <v>16</v>
      </c>
      <c r="Z110" s="11" t="s">
        <v>16</v>
      </c>
      <c r="AA110" s="105" t="s">
        <v>16</v>
      </c>
      <c r="AB110" s="94"/>
      <c r="AC110" s="10"/>
      <c r="AD110" s="10"/>
      <c r="AE110" s="10"/>
    </row>
    <row r="111" spans="1:31" s="173" customFormat="1">
      <c r="A111" s="1">
        <v>2504</v>
      </c>
      <c r="B111" s="2" t="s">
        <v>5</v>
      </c>
      <c r="C111" s="3" t="s">
        <v>5</v>
      </c>
      <c r="D111" s="4" t="s">
        <v>99</v>
      </c>
      <c r="E111" s="2" t="s">
        <v>92</v>
      </c>
      <c r="F111" s="2" t="s">
        <v>329</v>
      </c>
      <c r="G111" s="2" t="s">
        <v>365</v>
      </c>
      <c r="H111" s="2" t="s">
        <v>366</v>
      </c>
      <c r="I111" s="2" t="s">
        <v>367</v>
      </c>
      <c r="J111" s="62" t="s">
        <v>93</v>
      </c>
      <c r="K111" s="56" t="s">
        <v>13</v>
      </c>
      <c r="L111" s="43" t="s">
        <v>93</v>
      </c>
      <c r="M111" s="67" t="s">
        <v>93</v>
      </c>
      <c r="N111" s="64" t="s">
        <v>16</v>
      </c>
      <c r="O111" s="47" t="s">
        <v>16</v>
      </c>
      <c r="P111" s="76" t="s">
        <v>16</v>
      </c>
      <c r="Q111" s="71" t="s">
        <v>16</v>
      </c>
      <c r="R111" s="50" t="s">
        <v>16</v>
      </c>
      <c r="S111" s="87" t="s">
        <v>16</v>
      </c>
      <c r="T111" s="82" t="s">
        <v>16</v>
      </c>
      <c r="U111" s="49" t="s">
        <v>16</v>
      </c>
      <c r="V111" s="97" t="s">
        <v>16</v>
      </c>
      <c r="W111" s="94" t="s">
        <v>368</v>
      </c>
      <c r="X111" s="11" t="s">
        <v>16</v>
      </c>
      <c r="Y111" s="11" t="s">
        <v>16</v>
      </c>
      <c r="Z111" s="11" t="s">
        <v>16</v>
      </c>
      <c r="AA111" s="105" t="s">
        <v>16</v>
      </c>
      <c r="AB111" s="94"/>
      <c r="AC111" s="10"/>
      <c r="AD111" s="10"/>
      <c r="AE111" s="10"/>
    </row>
    <row r="112" spans="1:31" s="173" customFormat="1">
      <c r="A112" s="1">
        <v>2505</v>
      </c>
      <c r="B112" s="2" t="s">
        <v>40</v>
      </c>
      <c r="C112" s="3" t="s">
        <v>40</v>
      </c>
      <c r="D112" s="4" t="s">
        <v>99</v>
      </c>
      <c r="E112" s="2" t="s">
        <v>92</v>
      </c>
      <c r="F112" s="2" t="s">
        <v>329</v>
      </c>
      <c r="G112" s="2" t="s">
        <v>351</v>
      </c>
      <c r="H112" s="2" t="s">
        <v>352</v>
      </c>
      <c r="I112" s="2" t="s">
        <v>353</v>
      </c>
      <c r="J112" s="60">
        <v>70</v>
      </c>
      <c r="K112" s="56" t="s">
        <v>13</v>
      </c>
      <c r="L112" s="13">
        <v>3.0000000000000001E-3</v>
      </c>
      <c r="M112" s="67" t="s">
        <v>354</v>
      </c>
      <c r="N112" s="64" t="s">
        <v>16</v>
      </c>
      <c r="O112" s="47" t="s">
        <v>16</v>
      </c>
      <c r="P112" s="76" t="s">
        <v>16</v>
      </c>
      <c r="Q112" s="71" t="s">
        <v>16</v>
      </c>
      <c r="R112" s="50" t="s">
        <v>16</v>
      </c>
      <c r="S112" s="87" t="s">
        <v>16</v>
      </c>
      <c r="T112" s="82" t="s">
        <v>16</v>
      </c>
      <c r="U112" s="49" t="s">
        <v>16</v>
      </c>
      <c r="V112" s="97" t="s">
        <v>16</v>
      </c>
      <c r="W112" s="94" t="s">
        <v>355</v>
      </c>
      <c r="X112" s="11" t="s">
        <v>16</v>
      </c>
      <c r="Y112" s="11" t="s">
        <v>16</v>
      </c>
      <c r="Z112" s="11" t="s">
        <v>16</v>
      </c>
      <c r="AA112" s="105" t="s">
        <v>16</v>
      </c>
      <c r="AB112" s="94" t="s">
        <v>356</v>
      </c>
      <c r="AC112" s="10"/>
      <c r="AD112" s="10"/>
      <c r="AE112" s="10"/>
    </row>
    <row r="113" spans="1:31" s="173" customFormat="1">
      <c r="A113" s="1">
        <v>2510</v>
      </c>
      <c r="B113" s="2" t="s">
        <v>42</v>
      </c>
      <c r="C113" s="3" t="s">
        <v>42</v>
      </c>
      <c r="D113" s="4" t="s">
        <v>99</v>
      </c>
      <c r="E113" s="2" t="s">
        <v>92</v>
      </c>
      <c r="F113" s="2" t="s">
        <v>113</v>
      </c>
      <c r="G113" s="2" t="s">
        <v>183</v>
      </c>
      <c r="H113" s="2" t="s">
        <v>184</v>
      </c>
      <c r="I113" s="2" t="s">
        <v>185</v>
      </c>
      <c r="J113" s="62">
        <v>45</v>
      </c>
      <c r="K113" s="56" t="s">
        <v>13</v>
      </c>
      <c r="L113" s="13" t="s">
        <v>186</v>
      </c>
      <c r="M113" s="67" t="s">
        <v>187</v>
      </c>
      <c r="N113" s="64" t="s">
        <v>106</v>
      </c>
      <c r="O113" s="6">
        <v>120</v>
      </c>
      <c r="P113" s="76" t="s">
        <v>188</v>
      </c>
      <c r="Q113" s="71" t="s">
        <v>11</v>
      </c>
      <c r="R113" s="25" t="s">
        <v>189</v>
      </c>
      <c r="S113" s="87" t="s">
        <v>190</v>
      </c>
      <c r="T113" s="82" t="s">
        <v>16</v>
      </c>
      <c r="U113" s="49" t="s">
        <v>16</v>
      </c>
      <c r="V113" s="97" t="s">
        <v>16</v>
      </c>
      <c r="W113" s="94" t="s">
        <v>129</v>
      </c>
      <c r="X113" s="10" t="s">
        <v>130</v>
      </c>
      <c r="Y113" s="11" t="s">
        <v>16</v>
      </c>
      <c r="Z113" s="11" t="s">
        <v>16</v>
      </c>
      <c r="AA113" s="105" t="s">
        <v>16</v>
      </c>
      <c r="AB113" s="94" t="s">
        <v>191</v>
      </c>
      <c r="AC113" s="10"/>
      <c r="AD113" s="10"/>
      <c r="AE113" s="10"/>
    </row>
    <row r="114" spans="1:31" s="173" customFormat="1">
      <c r="A114" s="1">
        <v>2513</v>
      </c>
      <c r="B114" s="2" t="s">
        <v>42</v>
      </c>
      <c r="C114" s="3" t="s">
        <v>42</v>
      </c>
      <c r="D114" s="4" t="s">
        <v>99</v>
      </c>
      <c r="E114" s="2" t="s">
        <v>92</v>
      </c>
      <c r="F114" s="2" t="s">
        <v>113</v>
      </c>
      <c r="G114" s="2" t="s">
        <v>183</v>
      </c>
      <c r="H114" s="2" t="s">
        <v>184</v>
      </c>
      <c r="I114" s="2" t="s">
        <v>185</v>
      </c>
      <c r="J114" s="62">
        <v>45</v>
      </c>
      <c r="K114" s="56" t="s">
        <v>13</v>
      </c>
      <c r="L114" s="13" t="s">
        <v>186</v>
      </c>
      <c r="M114" s="67" t="s">
        <v>187</v>
      </c>
      <c r="N114" s="64" t="s">
        <v>106</v>
      </c>
      <c r="O114" s="6">
        <v>120</v>
      </c>
      <c r="P114" s="76" t="s">
        <v>188</v>
      </c>
      <c r="Q114" s="71" t="s">
        <v>11</v>
      </c>
      <c r="R114" s="25" t="s">
        <v>189</v>
      </c>
      <c r="S114" s="87" t="s">
        <v>190</v>
      </c>
      <c r="T114" s="82" t="s">
        <v>16</v>
      </c>
      <c r="U114" s="49" t="s">
        <v>16</v>
      </c>
      <c r="V114" s="97" t="s">
        <v>16</v>
      </c>
      <c r="W114" s="94" t="s">
        <v>129</v>
      </c>
      <c r="X114" s="10" t="s">
        <v>130</v>
      </c>
      <c r="Y114" s="11" t="s">
        <v>16</v>
      </c>
      <c r="Z114" s="11" t="s">
        <v>16</v>
      </c>
      <c r="AA114" s="105" t="s">
        <v>16</v>
      </c>
      <c r="AB114" s="94" t="s">
        <v>191</v>
      </c>
      <c r="AC114" s="10" t="s">
        <v>131</v>
      </c>
      <c r="AD114" s="10" t="s">
        <v>192</v>
      </c>
      <c r="AE114" s="10"/>
    </row>
    <row r="115" spans="1:31" s="173" customFormat="1">
      <c r="A115" s="1">
        <v>2524</v>
      </c>
      <c r="B115" s="2" t="s">
        <v>43</v>
      </c>
      <c r="C115" s="3" t="s">
        <v>43</v>
      </c>
      <c r="D115" s="4" t="s">
        <v>99</v>
      </c>
      <c r="E115" s="2" t="s">
        <v>92</v>
      </c>
      <c r="F115" s="2" t="s">
        <v>194</v>
      </c>
      <c r="G115" s="2" t="s">
        <v>577</v>
      </c>
      <c r="H115" s="2" t="s">
        <v>578</v>
      </c>
      <c r="I115" s="2" t="s">
        <v>579</v>
      </c>
      <c r="J115" s="60">
        <v>35</v>
      </c>
      <c r="K115" s="56" t="s">
        <v>13</v>
      </c>
      <c r="L115" s="13">
        <v>3.5000000000000001E-3</v>
      </c>
      <c r="M115" s="67" t="s">
        <v>580</v>
      </c>
      <c r="N115" s="64" t="s">
        <v>106</v>
      </c>
      <c r="O115" s="6" t="s">
        <v>474</v>
      </c>
      <c r="P115" s="76">
        <v>4082</v>
      </c>
      <c r="Q115" s="71" t="s">
        <v>11</v>
      </c>
      <c r="R115" s="8" t="s">
        <v>581</v>
      </c>
      <c r="S115" s="87" t="s">
        <v>93</v>
      </c>
      <c r="T115" s="82" t="s">
        <v>108</v>
      </c>
      <c r="U115" s="49" t="s">
        <v>93</v>
      </c>
      <c r="V115" s="97" t="s">
        <v>582</v>
      </c>
      <c r="W115" s="94" t="s">
        <v>583</v>
      </c>
      <c r="X115" s="10" t="s">
        <v>584</v>
      </c>
      <c r="Y115" s="10" t="s">
        <v>585</v>
      </c>
      <c r="Z115" s="11" t="s">
        <v>16</v>
      </c>
      <c r="AA115" s="105" t="s">
        <v>16</v>
      </c>
      <c r="AB115" s="94" t="s">
        <v>586</v>
      </c>
      <c r="AC115" s="10" t="s">
        <v>131</v>
      </c>
      <c r="AD115" s="10" t="s">
        <v>192</v>
      </c>
      <c r="AE115" s="10"/>
    </row>
    <row r="116" spans="1:31" s="173" customFormat="1">
      <c r="A116" s="1">
        <v>2525</v>
      </c>
      <c r="B116" s="2" t="s">
        <v>43</v>
      </c>
      <c r="C116" s="3" t="s">
        <v>43</v>
      </c>
      <c r="D116" s="4" t="s">
        <v>99</v>
      </c>
      <c r="E116" s="2" t="s">
        <v>92</v>
      </c>
      <c r="F116" s="2" t="s">
        <v>194</v>
      </c>
      <c r="G116" s="2" t="s">
        <v>577</v>
      </c>
      <c r="H116" s="2" t="s">
        <v>578</v>
      </c>
      <c r="I116" s="2" t="s">
        <v>579</v>
      </c>
      <c r="J116" s="60">
        <v>35</v>
      </c>
      <c r="K116" s="56" t="s">
        <v>13</v>
      </c>
      <c r="L116" s="13">
        <v>3.5000000000000001E-3</v>
      </c>
      <c r="M116" s="67" t="s">
        <v>580</v>
      </c>
      <c r="N116" s="64" t="s">
        <v>106</v>
      </c>
      <c r="O116" s="6" t="s">
        <v>484</v>
      </c>
      <c r="P116" s="76">
        <v>4082</v>
      </c>
      <c r="Q116" s="71" t="s">
        <v>11</v>
      </c>
      <c r="R116" s="8" t="s">
        <v>581</v>
      </c>
      <c r="S116" s="87" t="s">
        <v>93</v>
      </c>
      <c r="T116" s="82" t="s">
        <v>108</v>
      </c>
      <c r="U116" s="49" t="s">
        <v>93</v>
      </c>
      <c r="V116" s="97" t="s">
        <v>587</v>
      </c>
      <c r="W116" s="94" t="s">
        <v>583</v>
      </c>
      <c r="X116" s="10" t="s">
        <v>584</v>
      </c>
      <c r="Y116" s="10" t="s">
        <v>585</v>
      </c>
      <c r="Z116" s="11" t="s">
        <v>16</v>
      </c>
      <c r="AA116" s="105" t="s">
        <v>16</v>
      </c>
      <c r="AB116" s="94" t="s">
        <v>586</v>
      </c>
      <c r="AC116" s="10" t="s">
        <v>319</v>
      </c>
      <c r="AD116" s="10" t="s">
        <v>320</v>
      </c>
      <c r="AE116" s="10"/>
    </row>
    <row r="117" spans="1:31" s="173" customFormat="1">
      <c r="A117" s="1">
        <v>2526</v>
      </c>
      <c r="B117" s="2" t="s">
        <v>43</v>
      </c>
      <c r="C117" s="3" t="s">
        <v>43</v>
      </c>
      <c r="D117" s="4" t="s">
        <v>99</v>
      </c>
      <c r="E117" s="2" t="s">
        <v>92</v>
      </c>
      <c r="F117" s="2" t="s">
        <v>194</v>
      </c>
      <c r="G117" s="2" t="s">
        <v>577</v>
      </c>
      <c r="H117" s="2" t="s">
        <v>578</v>
      </c>
      <c r="I117" s="2" t="s">
        <v>579</v>
      </c>
      <c r="J117" s="60">
        <v>35</v>
      </c>
      <c r="K117" s="56" t="s">
        <v>13</v>
      </c>
      <c r="L117" s="13">
        <v>3.5000000000000001E-3</v>
      </c>
      <c r="M117" s="67" t="s">
        <v>580</v>
      </c>
      <c r="N117" s="64" t="s">
        <v>106</v>
      </c>
      <c r="O117" s="6" t="s">
        <v>588</v>
      </c>
      <c r="P117" s="76">
        <v>4082</v>
      </c>
      <c r="Q117" s="71" t="s">
        <v>11</v>
      </c>
      <c r="R117" s="8" t="s">
        <v>581</v>
      </c>
      <c r="S117" s="87" t="s">
        <v>93</v>
      </c>
      <c r="T117" s="82" t="s">
        <v>108</v>
      </c>
      <c r="U117" s="49" t="s">
        <v>93</v>
      </c>
      <c r="V117" s="97" t="s">
        <v>589</v>
      </c>
      <c r="W117" s="94" t="s">
        <v>583</v>
      </c>
      <c r="X117" s="10" t="s">
        <v>584</v>
      </c>
      <c r="Y117" s="10" t="s">
        <v>585</v>
      </c>
      <c r="Z117" s="11" t="s">
        <v>16</v>
      </c>
      <c r="AA117" s="105" t="s">
        <v>16</v>
      </c>
      <c r="AB117" s="94" t="s">
        <v>586</v>
      </c>
      <c r="AC117" s="10" t="s">
        <v>319</v>
      </c>
      <c r="AD117" s="10" t="s">
        <v>320</v>
      </c>
      <c r="AE117" s="10"/>
    </row>
    <row r="118" spans="1:31" s="173" customFormat="1">
      <c r="A118" s="1">
        <v>2620</v>
      </c>
      <c r="B118" s="2" t="s">
        <v>44</v>
      </c>
      <c r="C118" s="3" t="s">
        <v>44</v>
      </c>
      <c r="D118" s="4" t="s">
        <v>369</v>
      </c>
      <c r="E118" s="2" t="s">
        <v>92</v>
      </c>
      <c r="F118" s="2" t="s">
        <v>329</v>
      </c>
      <c r="G118" s="2" t="s">
        <v>370</v>
      </c>
      <c r="H118" s="2" t="s">
        <v>371</v>
      </c>
      <c r="I118" s="2" t="s">
        <v>372</v>
      </c>
      <c r="J118" s="62" t="s">
        <v>93</v>
      </c>
      <c r="K118" s="56" t="s">
        <v>13</v>
      </c>
      <c r="L118" s="42" t="s">
        <v>93</v>
      </c>
      <c r="M118" s="69" t="s">
        <v>373</v>
      </c>
      <c r="N118" s="64" t="s">
        <v>16</v>
      </c>
      <c r="O118" s="6" t="s">
        <v>16</v>
      </c>
      <c r="P118" s="81" t="s">
        <v>16</v>
      </c>
      <c r="Q118" s="71" t="s">
        <v>16</v>
      </c>
      <c r="R118" s="8" t="s">
        <v>16</v>
      </c>
      <c r="S118" s="91" t="s">
        <v>16</v>
      </c>
      <c r="T118" s="82" t="s">
        <v>16</v>
      </c>
      <c r="U118" s="9" t="s">
        <v>16</v>
      </c>
      <c r="V118" s="102" t="s">
        <v>16</v>
      </c>
      <c r="W118" s="94" t="s">
        <v>374</v>
      </c>
      <c r="X118" s="11" t="s">
        <v>16</v>
      </c>
      <c r="Y118" s="11" t="s">
        <v>16</v>
      </c>
      <c r="Z118" s="11" t="s">
        <v>16</v>
      </c>
      <c r="AA118" s="105" t="s">
        <v>16</v>
      </c>
      <c r="AB118" s="94" t="s">
        <v>375</v>
      </c>
      <c r="AC118" s="10" t="s">
        <v>319</v>
      </c>
      <c r="AD118" s="10" t="s">
        <v>376</v>
      </c>
      <c r="AE118" s="10"/>
    </row>
    <row r="119" spans="1:31" s="173" customFormat="1">
      <c r="A119" s="1">
        <v>2622</v>
      </c>
      <c r="B119" s="2" t="s">
        <v>44</v>
      </c>
      <c r="C119" s="3" t="s">
        <v>44</v>
      </c>
      <c r="D119" s="4" t="s">
        <v>369</v>
      </c>
      <c r="E119" s="2" t="s">
        <v>92</v>
      </c>
      <c r="F119" s="2" t="s">
        <v>329</v>
      </c>
      <c r="G119" s="2" t="s">
        <v>377</v>
      </c>
      <c r="H119" s="2" t="s">
        <v>378</v>
      </c>
      <c r="I119" s="2" t="s">
        <v>372</v>
      </c>
      <c r="J119" s="62" t="s">
        <v>93</v>
      </c>
      <c r="K119" s="56" t="s">
        <v>13</v>
      </c>
      <c r="L119" s="42" t="s">
        <v>93</v>
      </c>
      <c r="M119" s="69" t="s">
        <v>373</v>
      </c>
      <c r="N119" s="64" t="s">
        <v>16</v>
      </c>
      <c r="O119" s="6" t="s">
        <v>16</v>
      </c>
      <c r="P119" s="81" t="s">
        <v>16</v>
      </c>
      <c r="Q119" s="71" t="s">
        <v>16</v>
      </c>
      <c r="R119" s="8" t="s">
        <v>16</v>
      </c>
      <c r="S119" s="91" t="s">
        <v>16</v>
      </c>
      <c r="T119" s="82" t="s">
        <v>16</v>
      </c>
      <c r="U119" s="9" t="s">
        <v>16</v>
      </c>
      <c r="V119" s="102" t="s">
        <v>16</v>
      </c>
      <c r="W119" s="94" t="s">
        <v>374</v>
      </c>
      <c r="X119" s="11" t="s">
        <v>16</v>
      </c>
      <c r="Y119" s="11" t="s">
        <v>16</v>
      </c>
      <c r="Z119" s="11" t="s">
        <v>16</v>
      </c>
      <c r="AA119" s="105" t="s">
        <v>16</v>
      </c>
      <c r="AB119" s="94" t="s">
        <v>375</v>
      </c>
      <c r="AC119" s="10" t="s">
        <v>319</v>
      </c>
      <c r="AD119" s="10" t="s">
        <v>376</v>
      </c>
      <c r="AE119" s="10"/>
    </row>
    <row r="120" spans="1:31" s="173" customFormat="1">
      <c r="A120" s="1">
        <v>2650</v>
      </c>
      <c r="B120" s="2" t="s">
        <v>45</v>
      </c>
      <c r="C120" s="3" t="s">
        <v>45</v>
      </c>
      <c r="D120" s="4" t="s">
        <v>385</v>
      </c>
      <c r="E120" s="2" t="s">
        <v>386</v>
      </c>
      <c r="F120" s="2" t="s">
        <v>329</v>
      </c>
      <c r="G120" s="2" t="s">
        <v>387</v>
      </c>
      <c r="H120" s="2" t="s">
        <v>388</v>
      </c>
      <c r="I120" s="17" t="s">
        <v>389</v>
      </c>
      <c r="J120" s="62" t="s">
        <v>93</v>
      </c>
      <c r="K120" s="36" t="s">
        <v>13</v>
      </c>
      <c r="L120" s="43" t="s">
        <v>93</v>
      </c>
      <c r="M120" s="70" t="s">
        <v>93</v>
      </c>
      <c r="N120" s="64" t="s">
        <v>16</v>
      </c>
      <c r="O120" s="6" t="s">
        <v>16</v>
      </c>
      <c r="P120" s="81" t="s">
        <v>16</v>
      </c>
      <c r="Q120" s="74" t="s">
        <v>16</v>
      </c>
      <c r="R120" s="8" t="s">
        <v>16</v>
      </c>
      <c r="S120" s="91" t="s">
        <v>16</v>
      </c>
      <c r="T120" s="86" t="s">
        <v>16</v>
      </c>
      <c r="U120" s="9" t="s">
        <v>16</v>
      </c>
      <c r="V120" s="102" t="s">
        <v>16</v>
      </c>
      <c r="W120" s="96" t="s">
        <v>389</v>
      </c>
      <c r="X120" s="11" t="s">
        <v>16</v>
      </c>
      <c r="Y120" s="11" t="s">
        <v>16</v>
      </c>
      <c r="Z120" s="11" t="s">
        <v>16</v>
      </c>
      <c r="AA120" s="105" t="s">
        <v>16</v>
      </c>
      <c r="AB120" s="94" t="s">
        <v>390</v>
      </c>
      <c r="AC120" s="10" t="s">
        <v>391</v>
      </c>
      <c r="AD120" s="10" t="s">
        <v>392</v>
      </c>
      <c r="AE120" s="10"/>
    </row>
    <row r="121" spans="1:31" s="173" customFormat="1">
      <c r="A121" s="1">
        <v>2651</v>
      </c>
      <c r="B121" s="2" t="s">
        <v>45</v>
      </c>
      <c r="C121" s="3" t="s">
        <v>45</v>
      </c>
      <c r="D121" s="4" t="s">
        <v>385</v>
      </c>
      <c r="E121" s="2" t="s">
        <v>386</v>
      </c>
      <c r="F121" s="2" t="s">
        <v>329</v>
      </c>
      <c r="G121" s="2" t="s">
        <v>393</v>
      </c>
      <c r="H121" s="2" t="s">
        <v>394</v>
      </c>
      <c r="I121" s="17" t="s">
        <v>389</v>
      </c>
      <c r="J121" s="62" t="s">
        <v>93</v>
      </c>
      <c r="K121" s="36" t="s">
        <v>13</v>
      </c>
      <c r="L121" s="43" t="s">
        <v>93</v>
      </c>
      <c r="M121" s="70" t="s">
        <v>93</v>
      </c>
      <c r="N121" s="64" t="s">
        <v>16</v>
      </c>
      <c r="O121" s="6" t="s">
        <v>16</v>
      </c>
      <c r="P121" s="81" t="s">
        <v>16</v>
      </c>
      <c r="Q121" s="74" t="s">
        <v>16</v>
      </c>
      <c r="R121" s="8" t="s">
        <v>16</v>
      </c>
      <c r="S121" s="91" t="s">
        <v>16</v>
      </c>
      <c r="T121" s="86" t="s">
        <v>16</v>
      </c>
      <c r="U121" s="9" t="s">
        <v>16</v>
      </c>
      <c r="V121" s="102" t="s">
        <v>16</v>
      </c>
      <c r="W121" s="96" t="s">
        <v>389</v>
      </c>
      <c r="X121" s="11" t="s">
        <v>16</v>
      </c>
      <c r="Y121" s="11" t="s">
        <v>16</v>
      </c>
      <c r="Z121" s="11" t="s">
        <v>16</v>
      </c>
      <c r="AA121" s="105" t="s">
        <v>16</v>
      </c>
      <c r="AB121" s="94" t="s">
        <v>390</v>
      </c>
      <c r="AC121" s="10" t="s">
        <v>395</v>
      </c>
      <c r="AD121" s="10" t="s">
        <v>392</v>
      </c>
      <c r="AE121" s="10"/>
    </row>
    <row r="122" spans="1:31" s="173" customFormat="1">
      <c r="A122" s="1">
        <v>2652</v>
      </c>
      <c r="B122" s="2" t="s">
        <v>45</v>
      </c>
      <c r="C122" s="3" t="s">
        <v>45</v>
      </c>
      <c r="D122" s="4" t="s">
        <v>385</v>
      </c>
      <c r="E122" s="2" t="s">
        <v>386</v>
      </c>
      <c r="F122" s="2" t="s">
        <v>329</v>
      </c>
      <c r="G122" s="2" t="s">
        <v>396</v>
      </c>
      <c r="H122" s="2" t="s">
        <v>397</v>
      </c>
      <c r="I122" s="17" t="s">
        <v>389</v>
      </c>
      <c r="J122" s="62" t="s">
        <v>93</v>
      </c>
      <c r="K122" s="36" t="s">
        <v>13</v>
      </c>
      <c r="L122" s="43" t="s">
        <v>93</v>
      </c>
      <c r="M122" s="70" t="s">
        <v>93</v>
      </c>
      <c r="N122" s="64" t="s">
        <v>16</v>
      </c>
      <c r="O122" s="6" t="s">
        <v>16</v>
      </c>
      <c r="P122" s="81" t="s">
        <v>16</v>
      </c>
      <c r="Q122" s="74" t="s">
        <v>16</v>
      </c>
      <c r="R122" s="8" t="s">
        <v>16</v>
      </c>
      <c r="S122" s="91" t="s">
        <v>16</v>
      </c>
      <c r="T122" s="86" t="s">
        <v>16</v>
      </c>
      <c r="U122" s="9" t="s">
        <v>16</v>
      </c>
      <c r="V122" s="102" t="s">
        <v>16</v>
      </c>
      <c r="W122" s="96" t="s">
        <v>389</v>
      </c>
      <c r="X122" s="11" t="s">
        <v>16</v>
      </c>
      <c r="Y122" s="11" t="s">
        <v>16</v>
      </c>
      <c r="Z122" s="11" t="s">
        <v>16</v>
      </c>
      <c r="AA122" s="105" t="s">
        <v>16</v>
      </c>
      <c r="AB122" s="94" t="s">
        <v>390</v>
      </c>
      <c r="AC122" s="10" t="s">
        <v>398</v>
      </c>
      <c r="AD122" s="10" t="s">
        <v>392</v>
      </c>
      <c r="AE122" s="10"/>
    </row>
    <row r="123" spans="1:31" s="173" customFormat="1">
      <c r="A123" s="1">
        <v>2653</v>
      </c>
      <c r="B123" s="2" t="s">
        <v>45</v>
      </c>
      <c r="C123" s="3" t="s">
        <v>45</v>
      </c>
      <c r="D123" s="4" t="s">
        <v>385</v>
      </c>
      <c r="E123" s="2" t="s">
        <v>386</v>
      </c>
      <c r="F123" s="2" t="s">
        <v>329</v>
      </c>
      <c r="G123" s="2" t="s">
        <v>399</v>
      </c>
      <c r="H123" s="2" t="s">
        <v>400</v>
      </c>
      <c r="I123" s="17" t="s">
        <v>389</v>
      </c>
      <c r="J123" s="62" t="s">
        <v>93</v>
      </c>
      <c r="K123" s="36" t="s">
        <v>13</v>
      </c>
      <c r="L123" s="43" t="s">
        <v>93</v>
      </c>
      <c r="M123" s="70" t="s">
        <v>93</v>
      </c>
      <c r="N123" s="64" t="s">
        <v>16</v>
      </c>
      <c r="O123" s="6" t="s">
        <v>16</v>
      </c>
      <c r="P123" s="81" t="s">
        <v>16</v>
      </c>
      <c r="Q123" s="74" t="s">
        <v>16</v>
      </c>
      <c r="R123" s="8" t="s">
        <v>16</v>
      </c>
      <c r="S123" s="91" t="s">
        <v>16</v>
      </c>
      <c r="T123" s="86" t="s">
        <v>16</v>
      </c>
      <c r="U123" s="9" t="s">
        <v>16</v>
      </c>
      <c r="V123" s="102" t="s">
        <v>16</v>
      </c>
      <c r="W123" s="96" t="s">
        <v>389</v>
      </c>
      <c r="X123" s="11" t="s">
        <v>16</v>
      </c>
      <c r="Y123" s="11" t="s">
        <v>16</v>
      </c>
      <c r="Z123" s="11" t="s">
        <v>16</v>
      </c>
      <c r="AA123" s="105" t="s">
        <v>16</v>
      </c>
      <c r="AB123" s="94" t="s">
        <v>390</v>
      </c>
      <c r="AC123" s="10" t="s">
        <v>401</v>
      </c>
      <c r="AD123" s="10" t="s">
        <v>392</v>
      </c>
      <c r="AE123" s="10"/>
    </row>
    <row r="124" spans="1:31" s="173" customFormat="1">
      <c r="A124" s="1">
        <v>2657</v>
      </c>
      <c r="B124" s="2" t="s">
        <v>45</v>
      </c>
      <c r="C124" s="3" t="s">
        <v>45</v>
      </c>
      <c r="D124" s="4" t="s">
        <v>385</v>
      </c>
      <c r="E124" s="2" t="s">
        <v>386</v>
      </c>
      <c r="F124" s="2" t="s">
        <v>329</v>
      </c>
      <c r="G124" s="2" t="s">
        <v>402</v>
      </c>
      <c r="H124" s="2" t="s">
        <v>403</v>
      </c>
      <c r="I124" s="17" t="s">
        <v>389</v>
      </c>
      <c r="J124" s="62" t="s">
        <v>93</v>
      </c>
      <c r="K124" s="36" t="s">
        <v>13</v>
      </c>
      <c r="L124" s="43" t="s">
        <v>93</v>
      </c>
      <c r="M124" s="70" t="s">
        <v>93</v>
      </c>
      <c r="N124" s="64" t="s">
        <v>16</v>
      </c>
      <c r="O124" s="6" t="s">
        <v>16</v>
      </c>
      <c r="P124" s="81" t="s">
        <v>16</v>
      </c>
      <c r="Q124" s="74" t="s">
        <v>16</v>
      </c>
      <c r="R124" s="8" t="s">
        <v>16</v>
      </c>
      <c r="S124" s="91" t="s">
        <v>16</v>
      </c>
      <c r="T124" s="86" t="s">
        <v>16</v>
      </c>
      <c r="U124" s="9" t="s">
        <v>16</v>
      </c>
      <c r="V124" s="102" t="s">
        <v>16</v>
      </c>
      <c r="W124" s="96" t="s">
        <v>389</v>
      </c>
      <c r="X124" s="11" t="s">
        <v>16</v>
      </c>
      <c r="Y124" s="11" t="s">
        <v>16</v>
      </c>
      <c r="Z124" s="11" t="s">
        <v>16</v>
      </c>
      <c r="AA124" s="105" t="s">
        <v>16</v>
      </c>
      <c r="AB124" s="94" t="s">
        <v>390</v>
      </c>
      <c r="AC124" s="10" t="s">
        <v>404</v>
      </c>
      <c r="AD124" s="10" t="s">
        <v>392</v>
      </c>
      <c r="AE124" s="10"/>
    </row>
    <row r="125" spans="1:31" s="173" customFormat="1">
      <c r="A125" s="1">
        <v>2658</v>
      </c>
      <c r="B125" s="2" t="s">
        <v>45</v>
      </c>
      <c r="C125" s="3" t="s">
        <v>45</v>
      </c>
      <c r="D125" s="4" t="s">
        <v>385</v>
      </c>
      <c r="E125" s="2" t="s">
        <v>386</v>
      </c>
      <c r="F125" s="2" t="s">
        <v>329</v>
      </c>
      <c r="G125" s="2" t="s">
        <v>405</v>
      </c>
      <c r="H125" s="2" t="s">
        <v>406</v>
      </c>
      <c r="I125" s="17" t="s">
        <v>389</v>
      </c>
      <c r="J125" s="62" t="s">
        <v>93</v>
      </c>
      <c r="K125" s="36" t="s">
        <v>13</v>
      </c>
      <c r="L125" s="43" t="s">
        <v>93</v>
      </c>
      <c r="M125" s="70" t="s">
        <v>93</v>
      </c>
      <c r="N125" s="64" t="s">
        <v>16</v>
      </c>
      <c r="O125" s="6" t="s">
        <v>16</v>
      </c>
      <c r="P125" s="81" t="s">
        <v>16</v>
      </c>
      <c r="Q125" s="74" t="s">
        <v>16</v>
      </c>
      <c r="R125" s="8" t="s">
        <v>16</v>
      </c>
      <c r="S125" s="91" t="s">
        <v>16</v>
      </c>
      <c r="T125" s="86" t="s">
        <v>16</v>
      </c>
      <c r="U125" s="9" t="s">
        <v>16</v>
      </c>
      <c r="V125" s="102" t="s">
        <v>16</v>
      </c>
      <c r="W125" s="96" t="s">
        <v>389</v>
      </c>
      <c r="X125" s="11" t="s">
        <v>16</v>
      </c>
      <c r="Y125" s="11" t="s">
        <v>16</v>
      </c>
      <c r="Z125" s="11" t="s">
        <v>16</v>
      </c>
      <c r="AA125" s="105" t="s">
        <v>16</v>
      </c>
      <c r="AB125" s="94" t="s">
        <v>390</v>
      </c>
      <c r="AC125" s="10" t="s">
        <v>407</v>
      </c>
      <c r="AD125" s="10" t="s">
        <v>392</v>
      </c>
      <c r="AE125" s="10"/>
    </row>
    <row r="126" spans="1:31" s="173" customFormat="1">
      <c r="A126" s="1">
        <v>2659</v>
      </c>
      <c r="B126" s="2" t="s">
        <v>43</v>
      </c>
      <c r="C126" s="3" t="s">
        <v>43</v>
      </c>
      <c r="D126" s="4" t="s">
        <v>99</v>
      </c>
      <c r="E126" s="2" t="s">
        <v>92</v>
      </c>
      <c r="F126" s="2" t="s">
        <v>194</v>
      </c>
      <c r="G126" s="2" t="s">
        <v>590</v>
      </c>
      <c r="H126" s="2" t="s">
        <v>591</v>
      </c>
      <c r="I126" s="2" t="s">
        <v>579</v>
      </c>
      <c r="J126" s="60">
        <v>35</v>
      </c>
      <c r="K126" s="56" t="s">
        <v>13</v>
      </c>
      <c r="L126" s="13">
        <v>3.5000000000000001E-3</v>
      </c>
      <c r="M126" s="67" t="s">
        <v>580</v>
      </c>
      <c r="N126" s="64" t="s">
        <v>106</v>
      </c>
      <c r="O126" s="6" t="s">
        <v>592</v>
      </c>
      <c r="P126" s="76">
        <v>4082</v>
      </c>
      <c r="Q126" s="71" t="s">
        <v>11</v>
      </c>
      <c r="R126" s="8" t="s">
        <v>581</v>
      </c>
      <c r="S126" s="87" t="s">
        <v>93</v>
      </c>
      <c r="T126" s="82" t="s">
        <v>108</v>
      </c>
      <c r="U126" s="49" t="s">
        <v>93</v>
      </c>
      <c r="V126" s="97" t="s">
        <v>593</v>
      </c>
      <c r="W126" s="94" t="s">
        <v>583</v>
      </c>
      <c r="X126" s="10" t="s">
        <v>584</v>
      </c>
      <c r="Y126" s="10" t="s">
        <v>585</v>
      </c>
      <c r="Z126" s="11" t="s">
        <v>16</v>
      </c>
      <c r="AA126" s="105" t="s">
        <v>16</v>
      </c>
      <c r="AB126" s="94" t="s">
        <v>586</v>
      </c>
      <c r="AC126" s="10" t="s">
        <v>319</v>
      </c>
      <c r="AD126" s="10" t="s">
        <v>320</v>
      </c>
      <c r="AE126" s="10"/>
    </row>
    <row r="127" spans="1:31" s="173" customFormat="1">
      <c r="A127" s="1">
        <v>2660</v>
      </c>
      <c r="B127" s="2" t="s">
        <v>45</v>
      </c>
      <c r="C127" s="3" t="s">
        <v>45</v>
      </c>
      <c r="D127" s="4" t="s">
        <v>385</v>
      </c>
      <c r="E127" s="2" t="s">
        <v>386</v>
      </c>
      <c r="F127" s="2" t="s">
        <v>329</v>
      </c>
      <c r="G127" s="2" t="s">
        <v>408</v>
      </c>
      <c r="H127" s="2" t="s">
        <v>409</v>
      </c>
      <c r="I127" s="17" t="s">
        <v>389</v>
      </c>
      <c r="J127" s="62" t="s">
        <v>93</v>
      </c>
      <c r="K127" s="36" t="s">
        <v>13</v>
      </c>
      <c r="L127" s="43" t="s">
        <v>93</v>
      </c>
      <c r="M127" s="70" t="s">
        <v>93</v>
      </c>
      <c r="N127" s="64" t="s">
        <v>16</v>
      </c>
      <c r="O127" s="6" t="s">
        <v>16</v>
      </c>
      <c r="P127" s="81" t="s">
        <v>16</v>
      </c>
      <c r="Q127" s="74" t="s">
        <v>16</v>
      </c>
      <c r="R127" s="8" t="s">
        <v>16</v>
      </c>
      <c r="S127" s="91" t="s">
        <v>16</v>
      </c>
      <c r="T127" s="86" t="s">
        <v>16</v>
      </c>
      <c r="U127" s="9" t="s">
        <v>16</v>
      </c>
      <c r="V127" s="102" t="s">
        <v>16</v>
      </c>
      <c r="W127" s="96" t="s">
        <v>389</v>
      </c>
      <c r="X127" s="11" t="s">
        <v>16</v>
      </c>
      <c r="Y127" s="11" t="s">
        <v>16</v>
      </c>
      <c r="Z127" s="11" t="s">
        <v>16</v>
      </c>
      <c r="AA127" s="105" t="s">
        <v>16</v>
      </c>
      <c r="AB127" s="94" t="s">
        <v>390</v>
      </c>
      <c r="AC127" s="10" t="s">
        <v>410</v>
      </c>
      <c r="AD127" s="10" t="s">
        <v>392</v>
      </c>
      <c r="AE127" s="10"/>
    </row>
    <row r="128" spans="1:31" s="173" customFormat="1">
      <c r="A128" s="1">
        <v>2661</v>
      </c>
      <c r="B128" s="2" t="s">
        <v>45</v>
      </c>
      <c r="C128" s="3" t="s">
        <v>45</v>
      </c>
      <c r="D128" s="4" t="s">
        <v>385</v>
      </c>
      <c r="E128" s="2" t="s">
        <v>386</v>
      </c>
      <c r="F128" s="2" t="s">
        <v>329</v>
      </c>
      <c r="G128" s="2" t="s">
        <v>411</v>
      </c>
      <c r="H128" s="2" t="s">
        <v>412</v>
      </c>
      <c r="I128" s="17" t="s">
        <v>389</v>
      </c>
      <c r="J128" s="62" t="s">
        <v>93</v>
      </c>
      <c r="K128" s="36" t="s">
        <v>13</v>
      </c>
      <c r="L128" s="43" t="s">
        <v>93</v>
      </c>
      <c r="M128" s="70" t="s">
        <v>93</v>
      </c>
      <c r="N128" s="64" t="s">
        <v>16</v>
      </c>
      <c r="O128" s="6" t="s">
        <v>16</v>
      </c>
      <c r="P128" s="81" t="s">
        <v>16</v>
      </c>
      <c r="Q128" s="74" t="s">
        <v>16</v>
      </c>
      <c r="R128" s="8" t="s">
        <v>16</v>
      </c>
      <c r="S128" s="91" t="s">
        <v>16</v>
      </c>
      <c r="T128" s="86" t="s">
        <v>16</v>
      </c>
      <c r="U128" s="9" t="s">
        <v>16</v>
      </c>
      <c r="V128" s="102" t="s">
        <v>16</v>
      </c>
      <c r="W128" s="96" t="s">
        <v>389</v>
      </c>
      <c r="X128" s="11" t="s">
        <v>16</v>
      </c>
      <c r="Y128" s="11" t="s">
        <v>16</v>
      </c>
      <c r="Z128" s="11" t="s">
        <v>16</v>
      </c>
      <c r="AA128" s="105" t="s">
        <v>16</v>
      </c>
      <c r="AB128" s="94" t="s">
        <v>390</v>
      </c>
      <c r="AC128" s="10" t="s">
        <v>413</v>
      </c>
      <c r="AD128" s="10" t="s">
        <v>392</v>
      </c>
      <c r="AE128" s="10"/>
    </row>
    <row r="129" spans="1:31" s="173" customFormat="1">
      <c r="A129" s="1">
        <v>2662</v>
      </c>
      <c r="B129" s="2" t="s">
        <v>45</v>
      </c>
      <c r="C129" s="3" t="s">
        <v>45</v>
      </c>
      <c r="D129" s="4" t="s">
        <v>385</v>
      </c>
      <c r="E129" s="2" t="s">
        <v>386</v>
      </c>
      <c r="F129" s="2" t="s">
        <v>329</v>
      </c>
      <c r="G129" s="2" t="s">
        <v>414</v>
      </c>
      <c r="H129" s="2" t="s">
        <v>415</v>
      </c>
      <c r="I129" s="17" t="s">
        <v>389</v>
      </c>
      <c r="J129" s="62" t="s">
        <v>93</v>
      </c>
      <c r="K129" s="36" t="s">
        <v>13</v>
      </c>
      <c r="L129" s="43" t="s">
        <v>93</v>
      </c>
      <c r="M129" s="70" t="s">
        <v>93</v>
      </c>
      <c r="N129" s="64" t="s">
        <v>16</v>
      </c>
      <c r="O129" s="6" t="s">
        <v>16</v>
      </c>
      <c r="P129" s="81" t="s">
        <v>16</v>
      </c>
      <c r="Q129" s="74" t="s">
        <v>16</v>
      </c>
      <c r="R129" s="8" t="s">
        <v>16</v>
      </c>
      <c r="S129" s="91" t="s">
        <v>16</v>
      </c>
      <c r="T129" s="86" t="s">
        <v>16</v>
      </c>
      <c r="U129" s="9" t="s">
        <v>16</v>
      </c>
      <c r="V129" s="102" t="s">
        <v>16</v>
      </c>
      <c r="W129" s="96" t="s">
        <v>389</v>
      </c>
      <c r="X129" s="11" t="s">
        <v>16</v>
      </c>
      <c r="Y129" s="11" t="s">
        <v>16</v>
      </c>
      <c r="Z129" s="11" t="s">
        <v>16</v>
      </c>
      <c r="AA129" s="105" t="s">
        <v>16</v>
      </c>
      <c r="AB129" s="94" t="s">
        <v>390</v>
      </c>
      <c r="AC129" s="10" t="s">
        <v>416</v>
      </c>
      <c r="AD129" s="10" t="s">
        <v>392</v>
      </c>
      <c r="AE129" s="10"/>
    </row>
    <row r="130" spans="1:31" s="173" customFormat="1">
      <c r="A130" s="1">
        <v>2672</v>
      </c>
      <c r="B130" s="2" t="s">
        <v>45</v>
      </c>
      <c r="C130" s="3" t="s">
        <v>45</v>
      </c>
      <c r="D130" s="4" t="s">
        <v>385</v>
      </c>
      <c r="E130" s="2" t="s">
        <v>386</v>
      </c>
      <c r="F130" s="2" t="s">
        <v>329</v>
      </c>
      <c r="G130" s="2" t="s">
        <v>417</v>
      </c>
      <c r="H130" s="2" t="s">
        <v>418</v>
      </c>
      <c r="I130" s="17" t="s">
        <v>389</v>
      </c>
      <c r="J130" s="62" t="s">
        <v>93</v>
      </c>
      <c r="K130" s="36" t="s">
        <v>13</v>
      </c>
      <c r="L130" s="43" t="s">
        <v>93</v>
      </c>
      <c r="M130" s="70" t="s">
        <v>93</v>
      </c>
      <c r="N130" s="64" t="s">
        <v>16</v>
      </c>
      <c r="O130" s="6" t="s">
        <v>16</v>
      </c>
      <c r="P130" s="81" t="s">
        <v>16</v>
      </c>
      <c r="Q130" s="74" t="s">
        <v>16</v>
      </c>
      <c r="R130" s="8" t="s">
        <v>16</v>
      </c>
      <c r="S130" s="91" t="s">
        <v>16</v>
      </c>
      <c r="T130" s="86" t="s">
        <v>16</v>
      </c>
      <c r="U130" s="9" t="s">
        <v>16</v>
      </c>
      <c r="V130" s="102" t="s">
        <v>16</v>
      </c>
      <c r="W130" s="96" t="s">
        <v>389</v>
      </c>
      <c r="X130" s="11" t="s">
        <v>16</v>
      </c>
      <c r="Y130" s="11" t="s">
        <v>16</v>
      </c>
      <c r="Z130" s="11" t="s">
        <v>16</v>
      </c>
      <c r="AA130" s="105" t="s">
        <v>16</v>
      </c>
      <c r="AB130" s="94" t="s">
        <v>390</v>
      </c>
      <c r="AC130" s="10" t="s">
        <v>419</v>
      </c>
      <c r="AD130" s="10" t="s">
        <v>392</v>
      </c>
      <c r="AE130" s="10"/>
    </row>
    <row r="131" spans="1:31" s="173" customFormat="1">
      <c r="A131" s="1">
        <v>2677</v>
      </c>
      <c r="B131" s="2" t="s">
        <v>45</v>
      </c>
      <c r="C131" s="3" t="s">
        <v>45</v>
      </c>
      <c r="D131" s="4" t="s">
        <v>385</v>
      </c>
      <c r="E131" s="2" t="s">
        <v>386</v>
      </c>
      <c r="F131" s="2" t="s">
        <v>329</v>
      </c>
      <c r="G131" s="2" t="s">
        <v>420</v>
      </c>
      <c r="H131" s="2" t="s">
        <v>421</v>
      </c>
      <c r="I131" s="17" t="s">
        <v>389</v>
      </c>
      <c r="J131" s="62" t="s">
        <v>93</v>
      </c>
      <c r="K131" s="36" t="s">
        <v>13</v>
      </c>
      <c r="L131" s="43" t="s">
        <v>93</v>
      </c>
      <c r="M131" s="70" t="s">
        <v>93</v>
      </c>
      <c r="N131" s="64" t="s">
        <v>16</v>
      </c>
      <c r="O131" s="6" t="s">
        <v>16</v>
      </c>
      <c r="P131" s="81" t="s">
        <v>16</v>
      </c>
      <c r="Q131" s="74" t="s">
        <v>16</v>
      </c>
      <c r="R131" s="8" t="s">
        <v>16</v>
      </c>
      <c r="S131" s="91" t="s">
        <v>16</v>
      </c>
      <c r="T131" s="86" t="s">
        <v>16</v>
      </c>
      <c r="U131" s="9" t="s">
        <v>16</v>
      </c>
      <c r="V131" s="102" t="s">
        <v>16</v>
      </c>
      <c r="W131" s="96" t="s">
        <v>389</v>
      </c>
      <c r="X131" s="11" t="s">
        <v>16</v>
      </c>
      <c r="Y131" s="11" t="s">
        <v>16</v>
      </c>
      <c r="Z131" s="11" t="s">
        <v>16</v>
      </c>
      <c r="AA131" s="105" t="s">
        <v>16</v>
      </c>
      <c r="AB131" s="94" t="s">
        <v>390</v>
      </c>
      <c r="AC131" s="10" t="s">
        <v>422</v>
      </c>
      <c r="AD131" s="10" t="s">
        <v>392</v>
      </c>
      <c r="AE131" s="10"/>
    </row>
    <row r="132" spans="1:31" s="173" customFormat="1">
      <c r="A132" s="1">
        <v>2683</v>
      </c>
      <c r="B132" s="2" t="s">
        <v>46</v>
      </c>
      <c r="C132" s="3" t="s">
        <v>46</v>
      </c>
      <c r="D132" s="4" t="s">
        <v>99</v>
      </c>
      <c r="E132" s="2" t="s">
        <v>92</v>
      </c>
      <c r="F132" s="2" t="s">
        <v>329</v>
      </c>
      <c r="G132" s="2" t="s">
        <v>595</v>
      </c>
      <c r="H132" s="2" t="s">
        <v>596</v>
      </c>
      <c r="I132" s="2" t="s">
        <v>597</v>
      </c>
      <c r="J132" s="60">
        <v>20</v>
      </c>
      <c r="K132" s="56" t="s">
        <v>13</v>
      </c>
      <c r="L132" s="42" t="s">
        <v>93</v>
      </c>
      <c r="M132" s="67" t="s">
        <v>598</v>
      </c>
      <c r="N132" s="64" t="s">
        <v>16</v>
      </c>
      <c r="O132" s="6" t="s">
        <v>16</v>
      </c>
      <c r="P132" s="81" t="s">
        <v>16</v>
      </c>
      <c r="Q132" s="71" t="s">
        <v>16</v>
      </c>
      <c r="R132" s="50" t="s">
        <v>16</v>
      </c>
      <c r="S132" s="87" t="s">
        <v>16</v>
      </c>
      <c r="T132" s="82" t="s">
        <v>16</v>
      </c>
      <c r="U132" s="49" t="s">
        <v>16</v>
      </c>
      <c r="V132" s="97" t="s">
        <v>16</v>
      </c>
      <c r="W132" s="94" t="s">
        <v>207</v>
      </c>
      <c r="X132" s="11" t="s">
        <v>16</v>
      </c>
      <c r="Y132" s="11" t="s">
        <v>16</v>
      </c>
      <c r="Z132" s="11" t="s">
        <v>16</v>
      </c>
      <c r="AA132" s="105" t="s">
        <v>16</v>
      </c>
      <c r="AB132" s="94" t="s">
        <v>599</v>
      </c>
      <c r="AC132" s="10"/>
      <c r="AD132" s="10"/>
      <c r="AE132" s="10"/>
    </row>
    <row r="133" spans="1:31" s="173" customFormat="1">
      <c r="A133" s="1">
        <v>2684</v>
      </c>
      <c r="B133" s="2" t="s">
        <v>45</v>
      </c>
      <c r="C133" s="3" t="s">
        <v>45</v>
      </c>
      <c r="D133" s="4" t="s">
        <v>385</v>
      </c>
      <c r="E133" s="2" t="s">
        <v>386</v>
      </c>
      <c r="F133" s="2" t="s">
        <v>329</v>
      </c>
      <c r="G133" s="2" t="s">
        <v>423</v>
      </c>
      <c r="H133" s="2" t="s">
        <v>424</v>
      </c>
      <c r="I133" s="17" t="s">
        <v>389</v>
      </c>
      <c r="J133" s="62" t="s">
        <v>93</v>
      </c>
      <c r="K133" s="36" t="s">
        <v>13</v>
      </c>
      <c r="L133" s="43" t="s">
        <v>93</v>
      </c>
      <c r="M133" s="70" t="s">
        <v>93</v>
      </c>
      <c r="N133" s="64" t="s">
        <v>16</v>
      </c>
      <c r="O133" s="6" t="s">
        <v>16</v>
      </c>
      <c r="P133" s="81" t="s">
        <v>16</v>
      </c>
      <c r="Q133" s="74" t="s">
        <v>16</v>
      </c>
      <c r="R133" s="8" t="s">
        <v>16</v>
      </c>
      <c r="S133" s="91" t="s">
        <v>16</v>
      </c>
      <c r="T133" s="86" t="s">
        <v>16</v>
      </c>
      <c r="U133" s="9" t="s">
        <v>16</v>
      </c>
      <c r="V133" s="102" t="s">
        <v>16</v>
      </c>
      <c r="W133" s="96" t="s">
        <v>389</v>
      </c>
      <c r="X133" s="11" t="s">
        <v>16</v>
      </c>
      <c r="Y133" s="11" t="s">
        <v>16</v>
      </c>
      <c r="Z133" s="11" t="s">
        <v>16</v>
      </c>
      <c r="AA133" s="105" t="s">
        <v>16</v>
      </c>
      <c r="AB133" s="94" t="s">
        <v>390</v>
      </c>
      <c r="AC133" s="10" t="s">
        <v>425</v>
      </c>
      <c r="AD133" s="10" t="s">
        <v>392</v>
      </c>
      <c r="AE133" s="10"/>
    </row>
    <row r="134" spans="1:31" s="173" customFormat="1">
      <c r="A134" s="1">
        <v>2685</v>
      </c>
      <c r="B134" s="2" t="s">
        <v>45</v>
      </c>
      <c r="C134" s="3" t="s">
        <v>45</v>
      </c>
      <c r="D134" s="4" t="s">
        <v>385</v>
      </c>
      <c r="E134" s="2" t="s">
        <v>386</v>
      </c>
      <c r="F134" s="2" t="s">
        <v>329</v>
      </c>
      <c r="G134" s="2" t="s">
        <v>426</v>
      </c>
      <c r="H134" s="2" t="s">
        <v>427</v>
      </c>
      <c r="I134" s="17" t="s">
        <v>389</v>
      </c>
      <c r="J134" s="62" t="s">
        <v>93</v>
      </c>
      <c r="K134" s="36" t="s">
        <v>13</v>
      </c>
      <c r="L134" s="43" t="s">
        <v>93</v>
      </c>
      <c r="M134" s="70" t="s">
        <v>93</v>
      </c>
      <c r="N134" s="64" t="s">
        <v>16</v>
      </c>
      <c r="O134" s="6" t="s">
        <v>16</v>
      </c>
      <c r="P134" s="81" t="s">
        <v>16</v>
      </c>
      <c r="Q134" s="74" t="s">
        <v>16</v>
      </c>
      <c r="R134" s="8" t="s">
        <v>16</v>
      </c>
      <c r="S134" s="91" t="s">
        <v>16</v>
      </c>
      <c r="T134" s="86" t="s">
        <v>16</v>
      </c>
      <c r="U134" s="9" t="s">
        <v>16</v>
      </c>
      <c r="V134" s="102" t="s">
        <v>16</v>
      </c>
      <c r="W134" s="96" t="s">
        <v>389</v>
      </c>
      <c r="X134" s="11" t="s">
        <v>16</v>
      </c>
      <c r="Y134" s="11" t="s">
        <v>16</v>
      </c>
      <c r="Z134" s="11" t="s">
        <v>16</v>
      </c>
      <c r="AA134" s="105" t="s">
        <v>16</v>
      </c>
      <c r="AB134" s="94" t="s">
        <v>390</v>
      </c>
      <c r="AC134" s="10" t="s">
        <v>428</v>
      </c>
      <c r="AD134" s="10" t="s">
        <v>392</v>
      </c>
      <c r="AE134" s="10"/>
    </row>
    <row r="135" spans="1:31" s="173" customFormat="1">
      <c r="A135" s="1">
        <v>2705</v>
      </c>
      <c r="B135" s="2" t="s">
        <v>47</v>
      </c>
      <c r="C135" s="3" t="s">
        <v>47</v>
      </c>
      <c r="D135" s="4" t="s">
        <v>99</v>
      </c>
      <c r="E135" s="2" t="s">
        <v>92</v>
      </c>
      <c r="F135" s="2" t="s">
        <v>113</v>
      </c>
      <c r="G135" s="2" t="s">
        <v>125</v>
      </c>
      <c r="H135" s="2" t="s">
        <v>126</v>
      </c>
      <c r="I135" s="2" t="s">
        <v>127</v>
      </c>
      <c r="J135" s="60">
        <v>22</v>
      </c>
      <c r="K135" s="56" t="s">
        <v>13</v>
      </c>
      <c r="L135" s="13">
        <v>3.8E-3</v>
      </c>
      <c r="M135" s="67" t="s">
        <v>128</v>
      </c>
      <c r="N135" s="64" t="s">
        <v>16</v>
      </c>
      <c r="O135" s="6" t="s">
        <v>16</v>
      </c>
      <c r="P135" s="76" t="s">
        <v>16</v>
      </c>
      <c r="Q135" s="71" t="s">
        <v>16</v>
      </c>
      <c r="R135" s="8" t="s">
        <v>16</v>
      </c>
      <c r="S135" s="87" t="s">
        <v>16</v>
      </c>
      <c r="T135" s="82" t="s">
        <v>16</v>
      </c>
      <c r="U135" s="49" t="s">
        <v>16</v>
      </c>
      <c r="V135" s="98" t="s">
        <v>16</v>
      </c>
      <c r="W135" s="95" t="s">
        <v>129</v>
      </c>
      <c r="X135" s="15" t="s">
        <v>130</v>
      </c>
      <c r="Y135" s="11" t="s">
        <v>16</v>
      </c>
      <c r="Z135" s="11" t="s">
        <v>16</v>
      </c>
      <c r="AA135" s="105" t="s">
        <v>16</v>
      </c>
      <c r="AB135" s="94" t="s">
        <v>131</v>
      </c>
      <c r="AC135" s="10"/>
      <c r="AD135" s="10"/>
      <c r="AE135" s="10"/>
    </row>
    <row r="136" spans="1:31" s="173" customFormat="1">
      <c r="A136" s="1">
        <v>2788</v>
      </c>
      <c r="B136" s="2" t="s">
        <v>45</v>
      </c>
      <c r="C136" s="3" t="s">
        <v>45</v>
      </c>
      <c r="D136" s="4" t="s">
        <v>385</v>
      </c>
      <c r="E136" s="2" t="s">
        <v>386</v>
      </c>
      <c r="F136" s="2" t="s">
        <v>329</v>
      </c>
      <c r="G136" s="2" t="s">
        <v>429</v>
      </c>
      <c r="H136" s="2" t="s">
        <v>430</v>
      </c>
      <c r="I136" s="17" t="s">
        <v>389</v>
      </c>
      <c r="J136" s="62" t="s">
        <v>93</v>
      </c>
      <c r="K136" s="36" t="s">
        <v>13</v>
      </c>
      <c r="L136" s="43" t="s">
        <v>93</v>
      </c>
      <c r="M136" s="70" t="s">
        <v>93</v>
      </c>
      <c r="N136" s="64" t="s">
        <v>16</v>
      </c>
      <c r="O136" s="6" t="s">
        <v>16</v>
      </c>
      <c r="P136" s="81" t="s">
        <v>16</v>
      </c>
      <c r="Q136" s="74" t="s">
        <v>16</v>
      </c>
      <c r="R136" s="8" t="s">
        <v>16</v>
      </c>
      <c r="S136" s="91" t="s">
        <v>16</v>
      </c>
      <c r="T136" s="86" t="s">
        <v>16</v>
      </c>
      <c r="U136" s="9" t="s">
        <v>16</v>
      </c>
      <c r="V136" s="102" t="s">
        <v>16</v>
      </c>
      <c r="W136" s="96" t="s">
        <v>389</v>
      </c>
      <c r="X136" s="11" t="s">
        <v>16</v>
      </c>
      <c r="Y136" s="11" t="s">
        <v>16</v>
      </c>
      <c r="Z136" s="11" t="s">
        <v>16</v>
      </c>
      <c r="AA136" s="105" t="s">
        <v>16</v>
      </c>
      <c r="AB136" s="94" t="s">
        <v>390</v>
      </c>
      <c r="AC136" s="10" t="s">
        <v>431</v>
      </c>
      <c r="AD136" s="10" t="s">
        <v>392</v>
      </c>
      <c r="AE136" s="10"/>
    </row>
    <row r="137" spans="1:31" s="173" customFormat="1">
      <c r="A137" s="1">
        <v>2789</v>
      </c>
      <c r="B137" s="2" t="s">
        <v>45</v>
      </c>
      <c r="C137" s="3" t="s">
        <v>45</v>
      </c>
      <c r="D137" s="4" t="s">
        <v>385</v>
      </c>
      <c r="E137" s="2" t="s">
        <v>386</v>
      </c>
      <c r="F137" s="2" t="s">
        <v>329</v>
      </c>
      <c r="G137" s="2" t="s">
        <v>432</v>
      </c>
      <c r="H137" s="2" t="s">
        <v>433</v>
      </c>
      <c r="I137" s="17" t="s">
        <v>389</v>
      </c>
      <c r="J137" s="62" t="s">
        <v>93</v>
      </c>
      <c r="K137" s="36" t="s">
        <v>13</v>
      </c>
      <c r="L137" s="43" t="s">
        <v>93</v>
      </c>
      <c r="M137" s="70" t="s">
        <v>93</v>
      </c>
      <c r="N137" s="64" t="s">
        <v>16</v>
      </c>
      <c r="O137" s="6" t="s">
        <v>16</v>
      </c>
      <c r="P137" s="81" t="s">
        <v>16</v>
      </c>
      <c r="Q137" s="74" t="s">
        <v>16</v>
      </c>
      <c r="R137" s="8" t="s">
        <v>16</v>
      </c>
      <c r="S137" s="91" t="s">
        <v>16</v>
      </c>
      <c r="T137" s="86" t="s">
        <v>16</v>
      </c>
      <c r="U137" s="9" t="s">
        <v>16</v>
      </c>
      <c r="V137" s="102" t="s">
        <v>16</v>
      </c>
      <c r="W137" s="96" t="s">
        <v>389</v>
      </c>
      <c r="X137" s="11" t="s">
        <v>16</v>
      </c>
      <c r="Y137" s="11" t="s">
        <v>16</v>
      </c>
      <c r="Z137" s="11" t="s">
        <v>16</v>
      </c>
      <c r="AA137" s="105" t="s">
        <v>16</v>
      </c>
      <c r="AB137" s="94" t="s">
        <v>390</v>
      </c>
      <c r="AC137" s="10" t="s">
        <v>434</v>
      </c>
      <c r="AD137" s="10" t="s">
        <v>392</v>
      </c>
      <c r="AE137" s="10"/>
    </row>
    <row r="138" spans="1:31" s="173" customFormat="1">
      <c r="A138" s="1">
        <v>2798</v>
      </c>
      <c r="B138" s="2" t="s">
        <v>45</v>
      </c>
      <c r="C138" s="3" t="s">
        <v>45</v>
      </c>
      <c r="D138" s="4" t="s">
        <v>385</v>
      </c>
      <c r="E138" s="2" t="s">
        <v>386</v>
      </c>
      <c r="F138" s="2" t="s">
        <v>329</v>
      </c>
      <c r="G138" s="2" t="s">
        <v>435</v>
      </c>
      <c r="H138" s="2" t="s">
        <v>436</v>
      </c>
      <c r="I138" s="17" t="s">
        <v>389</v>
      </c>
      <c r="J138" s="62" t="s">
        <v>93</v>
      </c>
      <c r="K138" s="36" t="s">
        <v>13</v>
      </c>
      <c r="L138" s="43" t="s">
        <v>93</v>
      </c>
      <c r="M138" s="70" t="s">
        <v>93</v>
      </c>
      <c r="N138" s="64" t="s">
        <v>16</v>
      </c>
      <c r="O138" s="6" t="s">
        <v>16</v>
      </c>
      <c r="P138" s="81" t="s">
        <v>16</v>
      </c>
      <c r="Q138" s="74" t="s">
        <v>16</v>
      </c>
      <c r="R138" s="8" t="s">
        <v>16</v>
      </c>
      <c r="S138" s="91" t="s">
        <v>16</v>
      </c>
      <c r="T138" s="86" t="s">
        <v>16</v>
      </c>
      <c r="U138" s="9" t="s">
        <v>16</v>
      </c>
      <c r="V138" s="102" t="s">
        <v>16</v>
      </c>
      <c r="W138" s="96" t="s">
        <v>389</v>
      </c>
      <c r="X138" s="11" t="s">
        <v>16</v>
      </c>
      <c r="Y138" s="11" t="s">
        <v>16</v>
      </c>
      <c r="Z138" s="11" t="s">
        <v>16</v>
      </c>
      <c r="AA138" s="105" t="s">
        <v>16</v>
      </c>
      <c r="AB138" s="94" t="s">
        <v>390</v>
      </c>
      <c r="AC138" s="10" t="s">
        <v>437</v>
      </c>
      <c r="AD138" s="10" t="s">
        <v>392</v>
      </c>
      <c r="AE138" s="10"/>
    </row>
    <row r="139" spans="1:31" s="173" customFormat="1">
      <c r="A139" s="1">
        <v>2800</v>
      </c>
      <c r="B139" s="2" t="s">
        <v>43</v>
      </c>
      <c r="C139" s="3" t="s">
        <v>43</v>
      </c>
      <c r="D139" s="4" t="s">
        <v>99</v>
      </c>
      <c r="E139" s="2" t="s">
        <v>92</v>
      </c>
      <c r="F139" s="2" t="s">
        <v>194</v>
      </c>
      <c r="G139" s="2" t="s">
        <v>577</v>
      </c>
      <c r="H139" s="2" t="s">
        <v>578</v>
      </c>
      <c r="I139" s="2" t="s">
        <v>579</v>
      </c>
      <c r="J139" s="60">
        <v>35</v>
      </c>
      <c r="K139" s="56" t="s">
        <v>13</v>
      </c>
      <c r="L139" s="13">
        <v>3.5000000000000001E-3</v>
      </c>
      <c r="M139" s="67" t="s">
        <v>580</v>
      </c>
      <c r="N139" s="64" t="s">
        <v>106</v>
      </c>
      <c r="O139" s="6" t="s">
        <v>592</v>
      </c>
      <c r="P139" s="76">
        <v>4082</v>
      </c>
      <c r="Q139" s="71" t="s">
        <v>11</v>
      </c>
      <c r="R139" s="8" t="s">
        <v>581</v>
      </c>
      <c r="S139" s="87" t="s">
        <v>93</v>
      </c>
      <c r="T139" s="82" t="s">
        <v>108</v>
      </c>
      <c r="U139" s="49" t="s">
        <v>93</v>
      </c>
      <c r="V139" s="97" t="s">
        <v>594</v>
      </c>
      <c r="W139" s="94" t="s">
        <v>583</v>
      </c>
      <c r="X139" s="10" t="s">
        <v>584</v>
      </c>
      <c r="Y139" s="10" t="s">
        <v>585</v>
      </c>
      <c r="Z139" s="11" t="s">
        <v>16</v>
      </c>
      <c r="AA139" s="105" t="s">
        <v>16</v>
      </c>
      <c r="AB139" s="94" t="s">
        <v>586</v>
      </c>
      <c r="AC139" s="10" t="s">
        <v>319</v>
      </c>
      <c r="AD139" s="10" t="s">
        <v>320</v>
      </c>
      <c r="AE139" s="10"/>
    </row>
    <row r="140" spans="1:31" s="173" customFormat="1">
      <c r="A140" s="1">
        <v>2888</v>
      </c>
      <c r="B140" s="2" t="s">
        <v>48</v>
      </c>
      <c r="C140" s="3" t="s">
        <v>224</v>
      </c>
      <c r="D140" s="4" t="s">
        <v>99</v>
      </c>
      <c r="E140" s="2" t="s">
        <v>92</v>
      </c>
      <c r="F140" s="2" t="s">
        <v>113</v>
      </c>
      <c r="G140" s="2" t="s">
        <v>225</v>
      </c>
      <c r="H140" s="2" t="s">
        <v>226</v>
      </c>
      <c r="I140" s="2" t="s">
        <v>104</v>
      </c>
      <c r="J140" s="60">
        <v>50</v>
      </c>
      <c r="K140" s="56" t="s">
        <v>13</v>
      </c>
      <c r="L140" s="28">
        <v>6.7999999999999996E-3</v>
      </c>
      <c r="M140" s="67" t="s">
        <v>227</v>
      </c>
      <c r="N140" s="64" t="s">
        <v>106</v>
      </c>
      <c r="O140" s="47" t="s">
        <v>93</v>
      </c>
      <c r="P140" s="76">
        <v>12172</v>
      </c>
      <c r="Q140" s="71" t="s">
        <v>11</v>
      </c>
      <c r="R140" s="8" t="s">
        <v>228</v>
      </c>
      <c r="S140" s="87" t="s">
        <v>229</v>
      </c>
      <c r="T140" s="82" t="s">
        <v>108</v>
      </c>
      <c r="U140" s="49" t="s">
        <v>93</v>
      </c>
      <c r="V140" s="97" t="s">
        <v>230</v>
      </c>
      <c r="W140" s="94" t="s">
        <v>110</v>
      </c>
      <c r="X140" s="11" t="s">
        <v>16</v>
      </c>
      <c r="Y140" s="11" t="s">
        <v>16</v>
      </c>
      <c r="Z140" s="11" t="s">
        <v>16</v>
      </c>
      <c r="AA140" s="105" t="s">
        <v>16</v>
      </c>
      <c r="AB140" s="94" t="s">
        <v>231</v>
      </c>
      <c r="AC140" s="10"/>
      <c r="AD140" s="10"/>
      <c r="AE140" s="10"/>
    </row>
    <row r="141" spans="1:31" s="173" customFormat="1">
      <c r="A141" s="1">
        <v>2928</v>
      </c>
      <c r="B141" s="2" t="s">
        <v>49</v>
      </c>
      <c r="C141" s="3" t="s">
        <v>49</v>
      </c>
      <c r="D141" s="4" t="s">
        <v>99</v>
      </c>
      <c r="E141" s="2" t="s">
        <v>92</v>
      </c>
      <c r="F141" s="2" t="s">
        <v>113</v>
      </c>
      <c r="G141" s="2" t="s">
        <v>253</v>
      </c>
      <c r="H141" s="2" t="s">
        <v>254</v>
      </c>
      <c r="I141" s="2" t="s">
        <v>255</v>
      </c>
      <c r="J141" s="60">
        <v>30</v>
      </c>
      <c r="K141" s="56" t="s">
        <v>13</v>
      </c>
      <c r="L141" s="13">
        <v>4.1999999999999997E-3</v>
      </c>
      <c r="M141" s="67" t="s">
        <v>256</v>
      </c>
      <c r="N141" s="64" t="s">
        <v>106</v>
      </c>
      <c r="O141" s="6" t="s">
        <v>257</v>
      </c>
      <c r="P141" s="76" t="s">
        <v>93</v>
      </c>
      <c r="Q141" s="71" t="s">
        <v>11</v>
      </c>
      <c r="R141" s="8" t="s">
        <v>258</v>
      </c>
      <c r="S141" s="87" t="s">
        <v>93</v>
      </c>
      <c r="T141" s="82" t="s">
        <v>108</v>
      </c>
      <c r="U141" s="49" t="s">
        <v>259</v>
      </c>
      <c r="V141" s="97" t="s">
        <v>93</v>
      </c>
      <c r="W141" s="94" t="s">
        <v>260</v>
      </c>
      <c r="X141" s="10" t="s">
        <v>261</v>
      </c>
      <c r="Y141" s="11" t="s">
        <v>16</v>
      </c>
      <c r="Z141" s="11" t="s">
        <v>16</v>
      </c>
      <c r="AA141" s="107" t="s">
        <v>16</v>
      </c>
      <c r="AB141" s="94" t="s">
        <v>262</v>
      </c>
      <c r="AC141" s="15" t="s">
        <v>263</v>
      </c>
      <c r="AD141" s="10"/>
      <c r="AE141" s="10"/>
    </row>
    <row r="142" spans="1:31" s="173" customFormat="1">
      <c r="A142" s="1">
        <v>2929</v>
      </c>
      <c r="B142" s="2" t="s">
        <v>49</v>
      </c>
      <c r="C142" s="3" t="s">
        <v>49</v>
      </c>
      <c r="D142" s="4" t="s">
        <v>99</v>
      </c>
      <c r="E142" s="2" t="s">
        <v>92</v>
      </c>
      <c r="F142" s="2" t="s">
        <v>113</v>
      </c>
      <c r="G142" s="2" t="s">
        <v>253</v>
      </c>
      <c r="H142" s="2" t="s">
        <v>254</v>
      </c>
      <c r="I142" s="2" t="s">
        <v>255</v>
      </c>
      <c r="J142" s="60">
        <v>30</v>
      </c>
      <c r="K142" s="56" t="s">
        <v>13</v>
      </c>
      <c r="L142" s="13">
        <v>4.1999999999999997E-3</v>
      </c>
      <c r="M142" s="67" t="s">
        <v>256</v>
      </c>
      <c r="N142" s="64" t="s">
        <v>106</v>
      </c>
      <c r="O142" s="6" t="s">
        <v>257</v>
      </c>
      <c r="P142" s="76" t="s">
        <v>93</v>
      </c>
      <c r="Q142" s="71" t="s">
        <v>11</v>
      </c>
      <c r="R142" s="8" t="s">
        <v>258</v>
      </c>
      <c r="S142" s="87" t="s">
        <v>93</v>
      </c>
      <c r="T142" s="82" t="s">
        <v>108</v>
      </c>
      <c r="U142" s="49" t="s">
        <v>259</v>
      </c>
      <c r="V142" s="97" t="s">
        <v>93</v>
      </c>
      <c r="W142" s="94" t="s">
        <v>260</v>
      </c>
      <c r="X142" s="10" t="s">
        <v>261</v>
      </c>
      <c r="Y142" s="11" t="s">
        <v>16</v>
      </c>
      <c r="Z142" s="11" t="s">
        <v>16</v>
      </c>
      <c r="AA142" s="107" t="s">
        <v>16</v>
      </c>
      <c r="AB142" s="104" t="s">
        <v>262</v>
      </c>
      <c r="AC142" s="10" t="s">
        <v>264</v>
      </c>
      <c r="AD142" s="10"/>
      <c r="AE142" s="10"/>
    </row>
    <row r="143" spans="1:31" s="173" customFormat="1">
      <c r="A143" s="1">
        <v>2946</v>
      </c>
      <c r="B143" s="2" t="s">
        <v>49</v>
      </c>
      <c r="C143" s="3" t="s">
        <v>49</v>
      </c>
      <c r="D143" s="4" t="s">
        <v>99</v>
      </c>
      <c r="E143" s="2" t="s">
        <v>92</v>
      </c>
      <c r="F143" s="2" t="s">
        <v>113</v>
      </c>
      <c r="G143" s="2" t="s">
        <v>253</v>
      </c>
      <c r="H143" s="2" t="s">
        <v>254</v>
      </c>
      <c r="I143" s="2" t="s">
        <v>255</v>
      </c>
      <c r="J143" s="60">
        <v>30</v>
      </c>
      <c r="K143" s="56" t="s">
        <v>13</v>
      </c>
      <c r="L143" s="13">
        <v>4.1999999999999997E-3</v>
      </c>
      <c r="M143" s="67" t="s">
        <v>256</v>
      </c>
      <c r="N143" s="64" t="s">
        <v>106</v>
      </c>
      <c r="O143" s="6" t="s">
        <v>257</v>
      </c>
      <c r="P143" s="76" t="s">
        <v>93</v>
      </c>
      <c r="Q143" s="71" t="s">
        <v>11</v>
      </c>
      <c r="R143" s="8" t="s">
        <v>258</v>
      </c>
      <c r="S143" s="87" t="s">
        <v>93</v>
      </c>
      <c r="T143" s="82" t="s">
        <v>108</v>
      </c>
      <c r="U143" s="49" t="s">
        <v>259</v>
      </c>
      <c r="V143" s="97" t="s">
        <v>93</v>
      </c>
      <c r="W143" s="94" t="s">
        <v>260</v>
      </c>
      <c r="X143" s="10" t="s">
        <v>261</v>
      </c>
      <c r="Y143" s="11" t="s">
        <v>16</v>
      </c>
      <c r="Z143" s="11" t="s">
        <v>16</v>
      </c>
      <c r="AA143" s="107" t="s">
        <v>16</v>
      </c>
      <c r="AB143" s="94" t="s">
        <v>262</v>
      </c>
      <c r="AC143" s="10" t="s">
        <v>243</v>
      </c>
      <c r="AD143" s="10"/>
      <c r="AE143" s="10"/>
    </row>
    <row r="144" spans="1:31" s="173" customFormat="1">
      <c r="A144" s="1">
        <v>2951</v>
      </c>
      <c r="B144" s="2" t="s">
        <v>49</v>
      </c>
      <c r="C144" s="3" t="s">
        <v>49</v>
      </c>
      <c r="D144" s="4" t="s">
        <v>99</v>
      </c>
      <c r="E144" s="2" t="s">
        <v>92</v>
      </c>
      <c r="F144" s="2" t="s">
        <v>113</v>
      </c>
      <c r="G144" s="2" t="s">
        <v>253</v>
      </c>
      <c r="H144" s="2" t="s">
        <v>254</v>
      </c>
      <c r="I144" s="2" t="s">
        <v>255</v>
      </c>
      <c r="J144" s="60">
        <v>30</v>
      </c>
      <c r="K144" s="56" t="s">
        <v>13</v>
      </c>
      <c r="L144" s="13">
        <v>4.1999999999999997E-3</v>
      </c>
      <c r="M144" s="67" t="s">
        <v>256</v>
      </c>
      <c r="N144" s="64" t="s">
        <v>106</v>
      </c>
      <c r="O144" s="6" t="s">
        <v>257</v>
      </c>
      <c r="P144" s="76" t="s">
        <v>93</v>
      </c>
      <c r="Q144" s="71" t="s">
        <v>11</v>
      </c>
      <c r="R144" s="8" t="s">
        <v>258</v>
      </c>
      <c r="S144" s="87" t="s">
        <v>93</v>
      </c>
      <c r="T144" s="82" t="s">
        <v>108</v>
      </c>
      <c r="U144" s="49" t="s">
        <v>259</v>
      </c>
      <c r="V144" s="97" t="s">
        <v>93</v>
      </c>
      <c r="W144" s="94" t="s">
        <v>260</v>
      </c>
      <c r="X144" s="10" t="s">
        <v>261</v>
      </c>
      <c r="Y144" s="11" t="s">
        <v>16</v>
      </c>
      <c r="Z144" s="11" t="s">
        <v>16</v>
      </c>
      <c r="AA144" s="107" t="s">
        <v>16</v>
      </c>
      <c r="AB144" s="94" t="s">
        <v>262</v>
      </c>
      <c r="AC144" s="10" t="s">
        <v>243</v>
      </c>
      <c r="AD144" s="10"/>
      <c r="AE144" s="10"/>
    </row>
    <row r="145" spans="1:41" s="173" customFormat="1">
      <c r="A145" s="1">
        <v>2997</v>
      </c>
      <c r="B145" s="2" t="s">
        <v>49</v>
      </c>
      <c r="C145" s="3" t="s">
        <v>49</v>
      </c>
      <c r="D145" s="4" t="s">
        <v>99</v>
      </c>
      <c r="E145" s="2" t="s">
        <v>92</v>
      </c>
      <c r="F145" s="2" t="s">
        <v>113</v>
      </c>
      <c r="G145" s="2" t="s">
        <v>253</v>
      </c>
      <c r="H145" s="2" t="s">
        <v>254</v>
      </c>
      <c r="I145" s="2" t="s">
        <v>255</v>
      </c>
      <c r="J145" s="60">
        <v>30</v>
      </c>
      <c r="K145" s="56" t="s">
        <v>13</v>
      </c>
      <c r="L145" s="13">
        <v>4.1999999999999997E-3</v>
      </c>
      <c r="M145" s="67" t="s">
        <v>256</v>
      </c>
      <c r="N145" s="64" t="s">
        <v>106</v>
      </c>
      <c r="O145" s="6" t="s">
        <v>257</v>
      </c>
      <c r="P145" s="76" t="s">
        <v>93</v>
      </c>
      <c r="Q145" s="71" t="s">
        <v>11</v>
      </c>
      <c r="R145" s="8" t="s">
        <v>258</v>
      </c>
      <c r="S145" s="87" t="s">
        <v>93</v>
      </c>
      <c r="T145" s="82" t="s">
        <v>108</v>
      </c>
      <c r="U145" s="49" t="s">
        <v>259</v>
      </c>
      <c r="V145" s="97" t="s">
        <v>93</v>
      </c>
      <c r="W145" s="94" t="s">
        <v>260</v>
      </c>
      <c r="X145" s="10" t="s">
        <v>261</v>
      </c>
      <c r="Y145" s="11" t="s">
        <v>16</v>
      </c>
      <c r="Z145" s="11" t="s">
        <v>16</v>
      </c>
      <c r="AA145" s="107" t="s">
        <v>16</v>
      </c>
      <c r="AB145" s="94" t="s">
        <v>262</v>
      </c>
      <c r="AC145" s="10" t="s">
        <v>243</v>
      </c>
      <c r="AD145" s="10"/>
      <c r="AE145" s="10"/>
    </row>
    <row r="146" spans="1:41" s="173" customFormat="1">
      <c r="A146" s="1">
        <v>3188</v>
      </c>
      <c r="B146" s="2" t="s">
        <v>50</v>
      </c>
      <c r="C146" s="3" t="s">
        <v>50</v>
      </c>
      <c r="D146" s="4" t="s">
        <v>99</v>
      </c>
      <c r="E146" s="2" t="s">
        <v>92</v>
      </c>
      <c r="F146" s="2" t="s">
        <v>113</v>
      </c>
      <c r="G146" s="2" t="s">
        <v>232</v>
      </c>
      <c r="H146" s="2" t="s">
        <v>233</v>
      </c>
      <c r="I146" s="2" t="s">
        <v>234</v>
      </c>
      <c r="J146" s="60">
        <v>72</v>
      </c>
      <c r="K146" s="56" t="s">
        <v>13</v>
      </c>
      <c r="L146" s="13">
        <v>7.9000000000000008E-3</v>
      </c>
      <c r="M146" s="67" t="s">
        <v>235</v>
      </c>
      <c r="N146" s="64" t="s">
        <v>106</v>
      </c>
      <c r="O146" s="47" t="s">
        <v>93</v>
      </c>
      <c r="P146" s="76" t="s">
        <v>236</v>
      </c>
      <c r="Q146" s="71" t="s">
        <v>11</v>
      </c>
      <c r="R146" s="26" t="s">
        <v>93</v>
      </c>
      <c r="S146" s="87" t="s">
        <v>237</v>
      </c>
      <c r="T146" s="82" t="s">
        <v>108</v>
      </c>
      <c r="U146" s="49" t="s">
        <v>16</v>
      </c>
      <c r="V146" s="97" t="s">
        <v>238</v>
      </c>
      <c r="W146" s="94" t="s">
        <v>239</v>
      </c>
      <c r="X146" s="10" t="s">
        <v>240</v>
      </c>
      <c r="Y146" s="10" t="s">
        <v>241</v>
      </c>
      <c r="Z146" s="11" t="s">
        <v>16</v>
      </c>
      <c r="AA146" s="105" t="s">
        <v>16</v>
      </c>
      <c r="AB146" s="94" t="s">
        <v>242</v>
      </c>
      <c r="AC146" s="10" t="s">
        <v>243</v>
      </c>
      <c r="AD146" s="10"/>
      <c r="AE146" s="10"/>
    </row>
    <row r="147" spans="1:41" s="173" customFormat="1">
      <c r="A147" s="1">
        <v>3204</v>
      </c>
      <c r="B147" s="2" t="s">
        <v>51</v>
      </c>
      <c r="C147" s="3" t="s">
        <v>51</v>
      </c>
      <c r="D147" s="4" t="s">
        <v>529</v>
      </c>
      <c r="E147" s="2" t="s">
        <v>92</v>
      </c>
      <c r="F147" s="2" t="s">
        <v>329</v>
      </c>
      <c r="G147" s="2" t="s">
        <v>530</v>
      </c>
      <c r="H147" s="2" t="s">
        <v>531</v>
      </c>
      <c r="I147" s="2" t="s">
        <v>532</v>
      </c>
      <c r="J147" s="63">
        <v>51.8</v>
      </c>
      <c r="K147" s="36" t="s">
        <v>13</v>
      </c>
      <c r="L147" s="28">
        <v>5.1000000000000004E-3</v>
      </c>
      <c r="M147" s="67" t="s">
        <v>533</v>
      </c>
      <c r="N147" s="37" t="s">
        <v>106</v>
      </c>
      <c r="O147" s="30">
        <v>1.8000000000000001E-4</v>
      </c>
      <c r="P147" s="75">
        <v>6500</v>
      </c>
      <c r="Q147" s="73" t="s">
        <v>16</v>
      </c>
      <c r="R147" s="26" t="s">
        <v>16</v>
      </c>
      <c r="S147" s="90" t="s">
        <v>16</v>
      </c>
      <c r="T147" s="84" t="s">
        <v>108</v>
      </c>
      <c r="U147" s="27" t="s">
        <v>534</v>
      </c>
      <c r="V147" s="100" t="s">
        <v>535</v>
      </c>
      <c r="W147" s="94" t="s">
        <v>536</v>
      </c>
      <c r="X147" s="10" t="s">
        <v>537</v>
      </c>
      <c r="Y147" s="10" t="s">
        <v>538</v>
      </c>
      <c r="Z147" s="10"/>
      <c r="AA147" s="54"/>
      <c r="AB147" s="104" t="s">
        <v>539</v>
      </c>
      <c r="AC147" s="10" t="s">
        <v>540</v>
      </c>
      <c r="AD147" s="10" t="s">
        <v>541</v>
      </c>
      <c r="AE147" s="10"/>
    </row>
    <row r="148" spans="1:41" s="173" customFormat="1">
      <c r="A148" s="1">
        <v>3215</v>
      </c>
      <c r="B148" s="2" t="s">
        <v>50</v>
      </c>
      <c r="C148" s="3" t="s">
        <v>50</v>
      </c>
      <c r="D148" s="4" t="s">
        <v>99</v>
      </c>
      <c r="E148" s="2" t="s">
        <v>92</v>
      </c>
      <c r="F148" s="2" t="s">
        <v>113</v>
      </c>
      <c r="G148" s="2" t="s">
        <v>232</v>
      </c>
      <c r="H148" s="2" t="s">
        <v>233</v>
      </c>
      <c r="I148" s="2" t="s">
        <v>234</v>
      </c>
      <c r="J148" s="60">
        <v>72</v>
      </c>
      <c r="K148" s="56" t="s">
        <v>13</v>
      </c>
      <c r="L148" s="13">
        <v>7.9000000000000008E-3</v>
      </c>
      <c r="M148" s="67" t="s">
        <v>235</v>
      </c>
      <c r="N148" s="64" t="s">
        <v>106</v>
      </c>
      <c r="O148" s="47" t="s">
        <v>93</v>
      </c>
      <c r="P148" s="76" t="s">
        <v>236</v>
      </c>
      <c r="Q148" s="71" t="s">
        <v>11</v>
      </c>
      <c r="R148" s="26" t="s">
        <v>93</v>
      </c>
      <c r="S148" s="87" t="s">
        <v>244</v>
      </c>
      <c r="T148" s="82" t="s">
        <v>108</v>
      </c>
      <c r="U148" s="49" t="s">
        <v>16</v>
      </c>
      <c r="V148" s="97" t="s">
        <v>238</v>
      </c>
      <c r="W148" s="94" t="s">
        <v>239</v>
      </c>
      <c r="X148" s="10" t="s">
        <v>240</v>
      </c>
      <c r="Y148" s="10" t="s">
        <v>241</v>
      </c>
      <c r="Z148" s="11" t="s">
        <v>16</v>
      </c>
      <c r="AA148" s="105" t="s">
        <v>16</v>
      </c>
      <c r="AB148" s="94" t="s">
        <v>242</v>
      </c>
      <c r="AC148" s="10"/>
      <c r="AD148" s="10"/>
      <c r="AE148" s="10"/>
    </row>
    <row r="149" spans="1:41" s="173" customFormat="1">
      <c r="A149" s="1">
        <v>3217</v>
      </c>
      <c r="B149" s="2" t="s">
        <v>50</v>
      </c>
      <c r="C149" s="3" t="s">
        <v>50</v>
      </c>
      <c r="D149" s="4" t="s">
        <v>99</v>
      </c>
      <c r="E149" s="2" t="s">
        <v>92</v>
      </c>
      <c r="F149" s="2" t="s">
        <v>113</v>
      </c>
      <c r="G149" s="2" t="s">
        <v>232</v>
      </c>
      <c r="H149" s="2" t="s">
        <v>233</v>
      </c>
      <c r="I149" s="2" t="s">
        <v>234</v>
      </c>
      <c r="J149" s="60">
        <v>72</v>
      </c>
      <c r="K149" s="56" t="s">
        <v>13</v>
      </c>
      <c r="L149" s="13">
        <v>7.9000000000000008E-3</v>
      </c>
      <c r="M149" s="67" t="s">
        <v>235</v>
      </c>
      <c r="N149" s="64" t="s">
        <v>106</v>
      </c>
      <c r="O149" s="47" t="s">
        <v>93</v>
      </c>
      <c r="P149" s="76" t="s">
        <v>236</v>
      </c>
      <c r="Q149" s="71" t="s">
        <v>11</v>
      </c>
      <c r="R149" s="26" t="s">
        <v>93</v>
      </c>
      <c r="S149" s="87" t="s">
        <v>245</v>
      </c>
      <c r="T149" s="82" t="s">
        <v>108</v>
      </c>
      <c r="U149" s="49" t="s">
        <v>16</v>
      </c>
      <c r="V149" s="97" t="s">
        <v>238</v>
      </c>
      <c r="W149" s="94" t="s">
        <v>239</v>
      </c>
      <c r="X149" s="10" t="s">
        <v>240</v>
      </c>
      <c r="Y149" s="10" t="s">
        <v>241</v>
      </c>
      <c r="Z149" s="11" t="s">
        <v>16</v>
      </c>
      <c r="AA149" s="105" t="s">
        <v>16</v>
      </c>
      <c r="AB149" s="94" t="s">
        <v>242</v>
      </c>
      <c r="AC149" s="10" t="s">
        <v>209</v>
      </c>
      <c r="AD149" s="10"/>
      <c r="AE149" s="10"/>
    </row>
    <row r="150" spans="1:41" s="173" customFormat="1">
      <c r="A150" s="1">
        <v>3218</v>
      </c>
      <c r="B150" s="2" t="s">
        <v>50</v>
      </c>
      <c r="C150" s="3" t="s">
        <v>50</v>
      </c>
      <c r="D150" s="4" t="s">
        <v>99</v>
      </c>
      <c r="E150" s="2" t="s">
        <v>92</v>
      </c>
      <c r="F150" s="2" t="s">
        <v>113</v>
      </c>
      <c r="G150" s="2" t="s">
        <v>232</v>
      </c>
      <c r="H150" s="2" t="s">
        <v>233</v>
      </c>
      <c r="I150" s="2" t="s">
        <v>234</v>
      </c>
      <c r="J150" s="60">
        <v>72</v>
      </c>
      <c r="K150" s="56" t="s">
        <v>13</v>
      </c>
      <c r="L150" s="13">
        <v>7.9000000000000008E-3</v>
      </c>
      <c r="M150" s="67" t="s">
        <v>235</v>
      </c>
      <c r="N150" s="64" t="s">
        <v>106</v>
      </c>
      <c r="O150" s="47" t="s">
        <v>93</v>
      </c>
      <c r="P150" s="76" t="s">
        <v>236</v>
      </c>
      <c r="Q150" s="71" t="s">
        <v>11</v>
      </c>
      <c r="R150" s="26" t="s">
        <v>93</v>
      </c>
      <c r="S150" s="87" t="s">
        <v>246</v>
      </c>
      <c r="T150" s="82" t="s">
        <v>108</v>
      </c>
      <c r="U150" s="49" t="s">
        <v>16</v>
      </c>
      <c r="V150" s="97" t="s">
        <v>238</v>
      </c>
      <c r="W150" s="94" t="s">
        <v>239</v>
      </c>
      <c r="X150" s="10" t="s">
        <v>240</v>
      </c>
      <c r="Y150" s="10" t="s">
        <v>241</v>
      </c>
      <c r="Z150" s="11" t="s">
        <v>16</v>
      </c>
      <c r="AA150" s="105" t="s">
        <v>16</v>
      </c>
      <c r="AB150" s="94" t="s">
        <v>242</v>
      </c>
      <c r="AC150" s="10" t="s">
        <v>209</v>
      </c>
      <c r="AD150" s="10"/>
      <c r="AE150" s="10"/>
    </row>
    <row r="151" spans="1:41" s="173" customFormat="1">
      <c r="A151" s="1">
        <v>3230</v>
      </c>
      <c r="B151" s="2" t="s">
        <v>52</v>
      </c>
      <c r="C151" s="3" t="s">
        <v>52</v>
      </c>
      <c r="D151" s="4" t="s">
        <v>99</v>
      </c>
      <c r="E151" s="2" t="s">
        <v>92</v>
      </c>
      <c r="F151" s="2" t="s">
        <v>113</v>
      </c>
      <c r="G151" s="2" t="s">
        <v>202</v>
      </c>
      <c r="H151" s="2" t="s">
        <v>203</v>
      </c>
      <c r="I151" s="2" t="s">
        <v>204</v>
      </c>
      <c r="J151" s="62" t="s">
        <v>93</v>
      </c>
      <c r="K151" s="56" t="s">
        <v>13</v>
      </c>
      <c r="L151" s="13">
        <v>8.9999999999999993E-3</v>
      </c>
      <c r="M151" s="67" t="s">
        <v>205</v>
      </c>
      <c r="N151" s="64" t="s">
        <v>16</v>
      </c>
      <c r="O151" s="6" t="s">
        <v>16</v>
      </c>
      <c r="P151" s="76" t="s">
        <v>16</v>
      </c>
      <c r="Q151" s="71" t="s">
        <v>11</v>
      </c>
      <c r="R151" s="8" t="s">
        <v>206</v>
      </c>
      <c r="S151" s="90" t="s">
        <v>93</v>
      </c>
      <c r="T151" s="82" t="s">
        <v>16</v>
      </c>
      <c r="U151" s="49" t="s">
        <v>16</v>
      </c>
      <c r="V151" s="97" t="s">
        <v>16</v>
      </c>
      <c r="W151" s="94" t="s">
        <v>207</v>
      </c>
      <c r="X151" s="11" t="s">
        <v>16</v>
      </c>
      <c r="Y151" s="11" t="s">
        <v>16</v>
      </c>
      <c r="Z151" s="11" t="s">
        <v>16</v>
      </c>
      <c r="AA151" s="107" t="s">
        <v>16</v>
      </c>
      <c r="AB151" s="94" t="s">
        <v>208</v>
      </c>
      <c r="AC151" s="10" t="s">
        <v>209</v>
      </c>
      <c r="AD151" s="10"/>
      <c r="AE151" s="10"/>
    </row>
    <row r="152" spans="1:41" s="173" customFormat="1">
      <c r="A152" s="149">
        <v>3784</v>
      </c>
      <c r="B152" s="38" t="s">
        <v>53</v>
      </c>
      <c r="C152" s="150" t="s">
        <v>53</v>
      </c>
      <c r="D152" s="151" t="s">
        <v>99</v>
      </c>
      <c r="E152" s="152" t="s">
        <v>92</v>
      </c>
      <c r="F152" s="38" t="s">
        <v>194</v>
      </c>
      <c r="G152" s="38" t="s">
        <v>492</v>
      </c>
      <c r="H152" s="38" t="s">
        <v>493</v>
      </c>
      <c r="I152" s="38" t="s">
        <v>104</v>
      </c>
      <c r="J152" s="153">
        <v>30</v>
      </c>
      <c r="K152" s="154" t="s">
        <v>13</v>
      </c>
      <c r="L152" s="155">
        <v>3.3999999999999998E-3</v>
      </c>
      <c r="M152" s="156" t="s">
        <v>494</v>
      </c>
      <c r="N152" s="157" t="s">
        <v>16</v>
      </c>
      <c r="O152" s="158" t="s">
        <v>16</v>
      </c>
      <c r="P152" s="159" t="s">
        <v>16</v>
      </c>
      <c r="Q152" s="160" t="s">
        <v>16</v>
      </c>
      <c r="R152" s="161" t="s">
        <v>16</v>
      </c>
      <c r="S152" s="162" t="s">
        <v>16</v>
      </c>
      <c r="T152" s="163" t="s">
        <v>108</v>
      </c>
      <c r="U152" s="164" t="s">
        <v>93</v>
      </c>
      <c r="V152" s="165" t="s">
        <v>109</v>
      </c>
      <c r="W152" s="166" t="s">
        <v>110</v>
      </c>
      <c r="X152" s="40" t="s">
        <v>16</v>
      </c>
      <c r="Y152" s="40" t="s">
        <v>16</v>
      </c>
      <c r="Z152" s="40" t="s">
        <v>16</v>
      </c>
      <c r="AA152" s="167" t="s">
        <v>16</v>
      </c>
      <c r="AB152" s="166" t="s">
        <v>111</v>
      </c>
      <c r="AC152" s="39" t="s">
        <v>209</v>
      </c>
      <c r="AD152" s="39"/>
      <c r="AE152" s="39"/>
    </row>
    <row r="154" spans="1:41">
      <c r="AO154" s="168" t="s">
        <v>264</v>
      </c>
    </row>
  </sheetData>
  <mergeCells count="7">
    <mergeCell ref="W1:AA1"/>
    <mergeCell ref="AB1:AE1"/>
    <mergeCell ref="D1:J1"/>
    <mergeCell ref="K1:M1"/>
    <mergeCell ref="N1:P1"/>
    <mergeCell ref="Q1:S1"/>
    <mergeCell ref="T1:V1"/>
  </mergeCells>
  <hyperlinks>
    <hyperlink ref="AB70" r:id="rId1"/>
    <hyperlink ref="AC70" r:id="rId2"/>
    <hyperlink ref="AD70" r:id="rId3"/>
    <hyperlink ref="AB142" r:id="rId4"/>
    <hyperlink ref="AB49" r:id="rId5"/>
    <hyperlink ref="AB104" r:id="rId6"/>
    <hyperlink ref="AB35" r:id="rId7"/>
    <hyperlink ref="AB147" r:id="rId8"/>
  </hyperlinks>
  <pageMargins left="0.7" right="0.7" top="0.78740157500000008" bottom="0.78740157500000008" header="0.3" footer="0.3"/>
  <pageSetup paperSize="9" orientation="portrait" r:id="rId9"/>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2"/>
  <sheetViews>
    <sheetView tabSelected="1" workbookViewId="0">
      <selection activeCell="O9" sqref="O9"/>
    </sheetView>
  </sheetViews>
  <sheetFormatPr baseColWidth="10" defaultRowHeight="15.75"/>
  <cols>
    <col min="1" max="1" width="4.5" bestFit="1" customWidth="1"/>
    <col min="2" max="2" width="4" bestFit="1" customWidth="1"/>
    <col min="3" max="4" width="3" bestFit="1" customWidth="1"/>
    <col min="8" max="8" width="17.25" customWidth="1"/>
    <col min="9" max="9" width="4.625" customWidth="1"/>
    <col min="10" max="13" width="17.25" customWidth="1"/>
    <col min="14" max="14" width="21" customWidth="1"/>
    <col min="15" max="15" width="136.5" bestFit="1" customWidth="1"/>
  </cols>
  <sheetData>
    <row r="1" spans="1:15">
      <c r="J1" s="193" t="s">
        <v>628</v>
      </c>
      <c r="K1" s="193"/>
      <c r="L1" s="193"/>
      <c r="M1" s="193"/>
    </row>
    <row r="2" spans="1:15">
      <c r="A2" s="178" t="s">
        <v>620</v>
      </c>
      <c r="B2" s="178" t="s">
        <v>621</v>
      </c>
      <c r="C2" s="178" t="s">
        <v>622</v>
      </c>
      <c r="D2" s="178" t="s">
        <v>623</v>
      </c>
      <c r="E2" s="178"/>
      <c r="F2" s="178" t="s">
        <v>624</v>
      </c>
      <c r="G2" s="178" t="s">
        <v>625</v>
      </c>
      <c r="H2" s="178" t="s">
        <v>626</v>
      </c>
      <c r="I2" s="178"/>
      <c r="J2" s="178" t="s">
        <v>620</v>
      </c>
      <c r="K2" s="178" t="s">
        <v>621</v>
      </c>
      <c r="L2" s="178" t="s">
        <v>622</v>
      </c>
      <c r="M2" s="178" t="s">
        <v>623</v>
      </c>
      <c r="N2">
        <v>1000</v>
      </c>
    </row>
    <row r="3" spans="1:15">
      <c r="A3" t="s">
        <v>7</v>
      </c>
      <c r="B3" t="s">
        <v>16</v>
      </c>
      <c r="C3" t="s">
        <v>16</v>
      </c>
      <c r="D3" t="s">
        <v>16</v>
      </c>
      <c r="F3" t="s">
        <v>13</v>
      </c>
      <c r="G3">
        <f>COUNTIF(A:D,F3)</f>
        <v>114</v>
      </c>
      <c r="H3" s="179">
        <f>SUM(J3:M3)</f>
        <v>12956939</v>
      </c>
      <c r="I3" s="179"/>
      <c r="J3" s="194">
        <v>12956939</v>
      </c>
      <c r="K3" s="179"/>
      <c r="L3" s="179"/>
      <c r="M3" s="179"/>
    </row>
    <row r="4" spans="1:15">
      <c r="A4" t="s">
        <v>7</v>
      </c>
      <c r="B4" t="s">
        <v>16</v>
      </c>
      <c r="C4" t="s">
        <v>16</v>
      </c>
      <c r="D4" t="s">
        <v>16</v>
      </c>
      <c r="F4" t="s">
        <v>11</v>
      </c>
      <c r="G4">
        <f>COUNTIF(A:D,F4)</f>
        <v>74</v>
      </c>
      <c r="H4" s="179">
        <f>SUM(J4:M4)</f>
        <v>76.606999999999999</v>
      </c>
      <c r="I4" s="179"/>
      <c r="J4" s="179"/>
      <c r="K4" s="179"/>
      <c r="L4" s="194">
        <f>76607/N2</f>
        <v>76.606999999999999</v>
      </c>
      <c r="M4" s="179"/>
    </row>
    <row r="5" spans="1:15">
      <c r="A5" t="s">
        <v>7</v>
      </c>
      <c r="B5" t="s">
        <v>16</v>
      </c>
      <c r="C5" t="s">
        <v>16</v>
      </c>
      <c r="D5" t="s">
        <v>16</v>
      </c>
      <c r="F5" t="s">
        <v>108</v>
      </c>
      <c r="G5">
        <f>COUNTIF(A:D,F5)</f>
        <v>56</v>
      </c>
      <c r="H5" s="179">
        <f t="shared" ref="H5:H8" si="0">SUM(J5:M5)</f>
        <v>2017.3710000000001</v>
      </c>
      <c r="I5" s="179"/>
      <c r="J5" s="179"/>
      <c r="K5" s="179"/>
      <c r="L5" s="179"/>
      <c r="M5" s="194">
        <f>2017371/N2</f>
        <v>2017.3710000000001</v>
      </c>
    </row>
    <row r="6" spans="1:15">
      <c r="A6" t="s">
        <v>93</v>
      </c>
      <c r="B6" t="s">
        <v>16</v>
      </c>
      <c r="C6" t="s">
        <v>11</v>
      </c>
      <c r="D6" t="s">
        <v>108</v>
      </c>
      <c r="F6" t="s">
        <v>106</v>
      </c>
      <c r="G6">
        <f>COUNTIF(A:D,F6)</f>
        <v>42</v>
      </c>
      <c r="H6" s="179">
        <f t="shared" si="0"/>
        <v>129711</v>
      </c>
      <c r="I6" s="179"/>
      <c r="J6" s="179"/>
      <c r="K6" s="194">
        <v>129711</v>
      </c>
      <c r="L6" s="179"/>
      <c r="M6" s="179"/>
    </row>
    <row r="7" spans="1:15">
      <c r="A7" t="s">
        <v>306</v>
      </c>
      <c r="B7" t="s">
        <v>308</v>
      </c>
      <c r="C7" t="s">
        <v>11</v>
      </c>
      <c r="D7" t="s">
        <v>108</v>
      </c>
      <c r="F7" t="s">
        <v>28</v>
      </c>
      <c r="G7">
        <f>COUNTIF(A:D,F7)</f>
        <v>13</v>
      </c>
      <c r="H7" s="179">
        <f t="shared" si="0"/>
        <v>22959001</v>
      </c>
      <c r="I7" s="179"/>
      <c r="J7" s="194">
        <v>22959001</v>
      </c>
      <c r="K7" s="179"/>
      <c r="L7" s="179"/>
      <c r="M7" s="179"/>
    </row>
    <row r="8" spans="1:15">
      <c r="A8" t="s">
        <v>306</v>
      </c>
      <c r="B8" t="s">
        <v>308</v>
      </c>
      <c r="C8" t="s">
        <v>11</v>
      </c>
      <c r="D8" t="s">
        <v>108</v>
      </c>
      <c r="F8" t="s">
        <v>306</v>
      </c>
      <c r="G8">
        <f>COUNTIF(A:D,F8)</f>
        <v>4</v>
      </c>
      <c r="H8" s="179">
        <f t="shared" si="0"/>
        <v>112000</v>
      </c>
      <c r="I8" s="179"/>
      <c r="J8" s="194">
        <v>112000</v>
      </c>
      <c r="K8" s="179"/>
      <c r="L8" s="179"/>
      <c r="M8" s="179"/>
    </row>
    <row r="9" spans="1:15">
      <c r="A9" t="s">
        <v>306</v>
      </c>
      <c r="B9" t="s">
        <v>308</v>
      </c>
      <c r="C9" t="s">
        <v>11</v>
      </c>
      <c r="D9" t="s">
        <v>108</v>
      </c>
      <c r="F9" t="s">
        <v>308</v>
      </c>
      <c r="G9">
        <f>COUNTIF(A:D,F9)</f>
        <v>4</v>
      </c>
      <c r="H9" s="179"/>
      <c r="I9" s="179"/>
      <c r="J9" s="179"/>
      <c r="K9" s="179"/>
      <c r="L9" s="179"/>
      <c r="M9" s="179"/>
    </row>
    <row r="10" spans="1:15">
      <c r="A10" t="s">
        <v>306</v>
      </c>
      <c r="B10" t="s">
        <v>308</v>
      </c>
      <c r="C10" t="s">
        <v>11</v>
      </c>
      <c r="D10" t="s">
        <v>108</v>
      </c>
    </row>
    <row r="11" spans="1:15">
      <c r="A11" t="s">
        <v>11</v>
      </c>
      <c r="B11" t="s">
        <v>13</v>
      </c>
      <c r="C11" t="s">
        <v>16</v>
      </c>
      <c r="D11" t="s">
        <v>16</v>
      </c>
    </row>
    <row r="12" spans="1:15">
      <c r="A12" t="s">
        <v>13</v>
      </c>
      <c r="B12" t="s">
        <v>106</v>
      </c>
      <c r="C12" t="s">
        <v>11</v>
      </c>
      <c r="D12" t="s">
        <v>108</v>
      </c>
    </row>
    <row r="13" spans="1:15">
      <c r="A13" t="s">
        <v>13</v>
      </c>
      <c r="B13" t="s">
        <v>106</v>
      </c>
      <c r="C13" t="s">
        <v>11</v>
      </c>
      <c r="D13" t="s">
        <v>108</v>
      </c>
      <c r="N13" s="177" t="s">
        <v>627</v>
      </c>
      <c r="O13" t="s">
        <v>629</v>
      </c>
    </row>
    <row r="14" spans="1:15">
      <c r="A14" t="s">
        <v>13</v>
      </c>
      <c r="B14" t="s">
        <v>106</v>
      </c>
      <c r="C14" t="s">
        <v>11</v>
      </c>
      <c r="D14" t="s">
        <v>108</v>
      </c>
    </row>
    <row r="15" spans="1:15">
      <c r="A15" t="s">
        <v>93</v>
      </c>
      <c r="B15" t="s">
        <v>16</v>
      </c>
      <c r="C15" t="s">
        <v>11</v>
      </c>
      <c r="D15" t="s">
        <v>16</v>
      </c>
      <c r="F15" t="s">
        <v>7</v>
      </c>
      <c r="G15">
        <f>COUNTIF(A:D,F15)</f>
        <v>3</v>
      </c>
      <c r="H15" s="179"/>
      <c r="I15" s="179"/>
      <c r="J15" s="179"/>
      <c r="K15" s="179"/>
      <c r="L15" s="179"/>
      <c r="M15" s="179"/>
    </row>
    <row r="16" spans="1:15">
      <c r="A16" t="s">
        <v>93</v>
      </c>
      <c r="B16" t="s">
        <v>16</v>
      </c>
      <c r="C16" t="s">
        <v>11</v>
      </c>
      <c r="D16" t="s">
        <v>16</v>
      </c>
      <c r="F16" t="s">
        <v>93</v>
      </c>
      <c r="G16">
        <f>COUNTIF(A:D,F16)</f>
        <v>16</v>
      </c>
      <c r="H16" s="179"/>
      <c r="I16" s="179"/>
      <c r="J16" s="179"/>
      <c r="K16" s="179"/>
      <c r="L16" s="179"/>
      <c r="M16" s="179"/>
    </row>
    <row r="17" spans="1:4">
      <c r="A17" t="s">
        <v>13</v>
      </c>
      <c r="B17" t="s">
        <v>106</v>
      </c>
      <c r="C17" t="s">
        <v>11</v>
      </c>
      <c r="D17" t="s">
        <v>108</v>
      </c>
    </row>
    <row r="18" spans="1:4">
      <c r="A18" t="s">
        <v>13</v>
      </c>
      <c r="B18" t="s">
        <v>106</v>
      </c>
      <c r="C18" t="s">
        <v>11</v>
      </c>
      <c r="D18" t="s">
        <v>108</v>
      </c>
    </row>
    <row r="19" spans="1:4">
      <c r="A19" t="s">
        <v>13</v>
      </c>
      <c r="B19" t="s">
        <v>106</v>
      </c>
      <c r="C19" t="s">
        <v>11</v>
      </c>
      <c r="D19" t="s">
        <v>108</v>
      </c>
    </row>
    <row r="20" spans="1:4">
      <c r="A20" t="s">
        <v>13</v>
      </c>
      <c r="B20" t="s">
        <v>106</v>
      </c>
      <c r="C20" t="s">
        <v>11</v>
      </c>
      <c r="D20" t="s">
        <v>108</v>
      </c>
    </row>
    <row r="21" spans="1:4">
      <c r="A21" t="s">
        <v>13</v>
      </c>
      <c r="B21" t="s">
        <v>106</v>
      </c>
      <c r="C21" t="s">
        <v>11</v>
      </c>
      <c r="D21" t="s">
        <v>108</v>
      </c>
    </row>
    <row r="22" spans="1:4">
      <c r="A22" t="s">
        <v>13</v>
      </c>
      <c r="B22" t="s">
        <v>106</v>
      </c>
      <c r="C22" t="s">
        <v>11</v>
      </c>
      <c r="D22" t="s">
        <v>108</v>
      </c>
    </row>
    <row r="23" spans="1:4">
      <c r="A23" t="s">
        <v>13</v>
      </c>
      <c r="B23" t="s">
        <v>106</v>
      </c>
      <c r="C23" t="s">
        <v>16</v>
      </c>
      <c r="D23" t="s">
        <v>16</v>
      </c>
    </row>
    <row r="24" spans="1:4">
      <c r="A24" t="s">
        <v>13</v>
      </c>
      <c r="B24" t="s">
        <v>106</v>
      </c>
      <c r="C24" t="s">
        <v>16</v>
      </c>
      <c r="D24" t="s">
        <v>16</v>
      </c>
    </row>
    <row r="25" spans="1:4">
      <c r="A25" t="s">
        <v>13</v>
      </c>
      <c r="B25" t="s">
        <v>106</v>
      </c>
      <c r="C25" t="s">
        <v>16</v>
      </c>
      <c r="D25" t="s">
        <v>108</v>
      </c>
    </row>
    <row r="26" spans="1:4">
      <c r="A26" t="s">
        <v>13</v>
      </c>
      <c r="B26" t="s">
        <v>16</v>
      </c>
      <c r="C26" t="s">
        <v>16</v>
      </c>
      <c r="D26" t="s">
        <v>16</v>
      </c>
    </row>
    <row r="27" spans="1:4">
      <c r="A27" t="s">
        <v>28</v>
      </c>
      <c r="B27" t="s">
        <v>16</v>
      </c>
      <c r="C27" t="s">
        <v>16</v>
      </c>
      <c r="D27" t="s">
        <v>16</v>
      </c>
    </row>
    <row r="28" spans="1:4">
      <c r="A28" t="s">
        <v>28</v>
      </c>
      <c r="B28" t="s">
        <v>16</v>
      </c>
      <c r="C28" t="s">
        <v>16</v>
      </c>
      <c r="D28" t="s">
        <v>16</v>
      </c>
    </row>
    <row r="29" spans="1:4">
      <c r="A29" t="s">
        <v>13</v>
      </c>
      <c r="B29" t="s">
        <v>16</v>
      </c>
      <c r="C29" t="s">
        <v>11</v>
      </c>
      <c r="D29" t="s">
        <v>108</v>
      </c>
    </row>
    <row r="30" spans="1:4">
      <c r="A30" t="s">
        <v>13</v>
      </c>
      <c r="B30" t="s">
        <v>16</v>
      </c>
      <c r="C30" t="s">
        <v>11</v>
      </c>
      <c r="D30" t="s">
        <v>108</v>
      </c>
    </row>
    <row r="31" spans="1:4">
      <c r="A31" t="s">
        <v>13</v>
      </c>
      <c r="B31" t="s">
        <v>93</v>
      </c>
      <c r="C31" t="s">
        <v>11</v>
      </c>
      <c r="D31" t="s">
        <v>108</v>
      </c>
    </row>
    <row r="32" spans="1:4">
      <c r="A32" t="s">
        <v>13</v>
      </c>
      <c r="B32" t="s">
        <v>16</v>
      </c>
      <c r="C32" t="s">
        <v>16</v>
      </c>
      <c r="D32" t="s">
        <v>16</v>
      </c>
    </row>
    <row r="33" spans="1:4">
      <c r="A33" t="s">
        <v>13</v>
      </c>
      <c r="B33" t="s">
        <v>16</v>
      </c>
      <c r="C33" t="s">
        <v>16</v>
      </c>
      <c r="D33" t="s">
        <v>16</v>
      </c>
    </row>
    <row r="34" spans="1:4">
      <c r="A34" t="s">
        <v>13</v>
      </c>
      <c r="B34" t="s">
        <v>106</v>
      </c>
      <c r="C34" t="s">
        <v>11</v>
      </c>
      <c r="D34" t="s">
        <v>16</v>
      </c>
    </row>
    <row r="35" spans="1:4">
      <c r="A35" t="s">
        <v>13</v>
      </c>
      <c r="B35" t="s">
        <v>16</v>
      </c>
      <c r="C35" t="s">
        <v>11</v>
      </c>
      <c r="D35" t="s">
        <v>108</v>
      </c>
    </row>
    <row r="36" spans="1:4">
      <c r="A36" t="s">
        <v>13</v>
      </c>
      <c r="B36" t="s">
        <v>16</v>
      </c>
      <c r="C36" t="s">
        <v>11</v>
      </c>
      <c r="D36" t="s">
        <v>108</v>
      </c>
    </row>
    <row r="37" spans="1:4">
      <c r="A37" t="s">
        <v>13</v>
      </c>
      <c r="B37" t="s">
        <v>16</v>
      </c>
      <c r="C37" t="s">
        <v>16</v>
      </c>
      <c r="D37" t="s">
        <v>16</v>
      </c>
    </row>
    <row r="38" spans="1:4">
      <c r="A38" t="s">
        <v>13</v>
      </c>
      <c r="B38" t="s">
        <v>16</v>
      </c>
      <c r="C38" t="s">
        <v>16</v>
      </c>
      <c r="D38" t="s">
        <v>16</v>
      </c>
    </row>
    <row r="39" spans="1:4">
      <c r="A39" t="s">
        <v>13</v>
      </c>
      <c r="B39" t="s">
        <v>106</v>
      </c>
      <c r="C39" t="s">
        <v>11</v>
      </c>
      <c r="D39" t="s">
        <v>16</v>
      </c>
    </row>
    <row r="40" spans="1:4">
      <c r="A40" t="s">
        <v>13</v>
      </c>
      <c r="B40" t="s">
        <v>16</v>
      </c>
      <c r="C40" t="s">
        <v>16</v>
      </c>
      <c r="D40" t="s">
        <v>16</v>
      </c>
    </row>
    <row r="41" spans="1:4">
      <c r="A41" t="s">
        <v>13</v>
      </c>
      <c r="B41" t="s">
        <v>16</v>
      </c>
      <c r="C41" t="s">
        <v>16</v>
      </c>
      <c r="D41" t="s">
        <v>16</v>
      </c>
    </row>
    <row r="42" spans="1:4">
      <c r="A42" t="s">
        <v>13</v>
      </c>
      <c r="B42" t="s">
        <v>16</v>
      </c>
      <c r="C42" t="s">
        <v>11</v>
      </c>
      <c r="D42" t="s">
        <v>16</v>
      </c>
    </row>
    <row r="43" spans="1:4">
      <c r="A43" t="s">
        <v>13</v>
      </c>
      <c r="B43" t="s">
        <v>16</v>
      </c>
      <c r="C43" t="s">
        <v>11</v>
      </c>
      <c r="D43" t="s">
        <v>16</v>
      </c>
    </row>
    <row r="44" spans="1:4">
      <c r="A44" t="s">
        <v>13</v>
      </c>
      <c r="B44" t="s">
        <v>16</v>
      </c>
      <c r="C44" t="s">
        <v>11</v>
      </c>
      <c r="D44" t="s">
        <v>16</v>
      </c>
    </row>
    <row r="45" spans="1:4">
      <c r="A45" t="s">
        <v>13</v>
      </c>
      <c r="B45" t="s">
        <v>16</v>
      </c>
      <c r="C45" t="s">
        <v>11</v>
      </c>
      <c r="D45" t="s">
        <v>16</v>
      </c>
    </row>
    <row r="46" spans="1:4">
      <c r="A46" t="s">
        <v>13</v>
      </c>
      <c r="B46" t="s">
        <v>16</v>
      </c>
      <c r="C46" t="s">
        <v>11</v>
      </c>
      <c r="D46" t="s">
        <v>16</v>
      </c>
    </row>
    <row r="47" spans="1:4">
      <c r="A47" t="s">
        <v>16</v>
      </c>
      <c r="B47" t="s">
        <v>16</v>
      </c>
      <c r="C47" t="s">
        <v>16</v>
      </c>
      <c r="D47" t="s">
        <v>16</v>
      </c>
    </row>
    <row r="48" spans="1:4">
      <c r="A48" t="s">
        <v>13</v>
      </c>
      <c r="B48" t="s">
        <v>16</v>
      </c>
      <c r="C48" t="s">
        <v>11</v>
      </c>
      <c r="D48" t="s">
        <v>108</v>
      </c>
    </row>
    <row r="49" spans="1:4">
      <c r="A49" t="s">
        <v>28</v>
      </c>
      <c r="B49" t="s">
        <v>16</v>
      </c>
      <c r="C49" t="s">
        <v>16</v>
      </c>
      <c r="D49" t="s">
        <v>16</v>
      </c>
    </row>
    <row r="50" spans="1:4">
      <c r="A50" t="s">
        <v>28</v>
      </c>
      <c r="B50" t="s">
        <v>16</v>
      </c>
      <c r="C50" t="s">
        <v>16</v>
      </c>
      <c r="D50" t="s">
        <v>16</v>
      </c>
    </row>
    <row r="51" spans="1:4">
      <c r="A51" t="s">
        <v>93</v>
      </c>
      <c r="B51" t="s">
        <v>16</v>
      </c>
      <c r="C51" t="s">
        <v>16</v>
      </c>
      <c r="D51" t="s">
        <v>16</v>
      </c>
    </row>
    <row r="52" spans="1:4">
      <c r="A52" t="s">
        <v>93</v>
      </c>
      <c r="B52" t="s">
        <v>16</v>
      </c>
      <c r="C52" t="s">
        <v>16</v>
      </c>
      <c r="D52" t="s">
        <v>16</v>
      </c>
    </row>
    <row r="53" spans="1:4">
      <c r="A53" t="s">
        <v>28</v>
      </c>
      <c r="B53" t="s">
        <v>16</v>
      </c>
      <c r="C53" t="s">
        <v>16</v>
      </c>
      <c r="D53" t="s">
        <v>16</v>
      </c>
    </row>
    <row r="54" spans="1:4">
      <c r="A54" t="s">
        <v>28</v>
      </c>
      <c r="B54" t="s">
        <v>16</v>
      </c>
      <c r="C54" t="s">
        <v>16</v>
      </c>
      <c r="D54" t="s">
        <v>16</v>
      </c>
    </row>
    <row r="55" spans="1:4">
      <c r="A55" t="s">
        <v>13</v>
      </c>
      <c r="B55" t="s">
        <v>106</v>
      </c>
      <c r="C55" t="s">
        <v>11</v>
      </c>
      <c r="D55" t="s">
        <v>16</v>
      </c>
    </row>
    <row r="56" spans="1:4">
      <c r="A56" t="s">
        <v>13</v>
      </c>
      <c r="B56" t="s">
        <v>106</v>
      </c>
      <c r="C56" t="s">
        <v>11</v>
      </c>
      <c r="D56" t="s">
        <v>16</v>
      </c>
    </row>
    <row r="57" spans="1:4">
      <c r="A57" t="s">
        <v>93</v>
      </c>
      <c r="B57" t="s">
        <v>16</v>
      </c>
      <c r="C57" t="s">
        <v>16</v>
      </c>
      <c r="D57" t="s">
        <v>16</v>
      </c>
    </row>
    <row r="58" spans="1:4">
      <c r="A58" t="s">
        <v>13</v>
      </c>
      <c r="B58" t="s">
        <v>16</v>
      </c>
      <c r="C58" t="s">
        <v>11</v>
      </c>
      <c r="D58" t="s">
        <v>108</v>
      </c>
    </row>
    <row r="59" spans="1:4">
      <c r="A59" t="s">
        <v>13</v>
      </c>
      <c r="B59" t="s">
        <v>16</v>
      </c>
      <c r="C59" t="s">
        <v>11</v>
      </c>
      <c r="D59" t="s">
        <v>108</v>
      </c>
    </row>
    <row r="60" spans="1:4">
      <c r="A60" t="s">
        <v>13</v>
      </c>
      <c r="B60" t="s">
        <v>106</v>
      </c>
      <c r="C60" t="s">
        <v>11</v>
      </c>
      <c r="D60" t="s">
        <v>16</v>
      </c>
    </row>
    <row r="61" spans="1:4">
      <c r="A61" t="s">
        <v>13</v>
      </c>
      <c r="B61" t="s">
        <v>106</v>
      </c>
      <c r="C61" t="s">
        <v>11</v>
      </c>
      <c r="D61" t="s">
        <v>16</v>
      </c>
    </row>
    <row r="62" spans="1:4">
      <c r="A62" t="s">
        <v>13</v>
      </c>
      <c r="B62" t="s">
        <v>106</v>
      </c>
      <c r="C62" t="s">
        <v>11</v>
      </c>
      <c r="D62" t="s">
        <v>16</v>
      </c>
    </row>
    <row r="63" spans="1:4">
      <c r="A63" t="s">
        <v>13</v>
      </c>
      <c r="B63" t="s">
        <v>16</v>
      </c>
      <c r="C63" t="s">
        <v>16</v>
      </c>
      <c r="D63" t="s">
        <v>16</v>
      </c>
    </row>
    <row r="64" spans="1:4">
      <c r="A64" t="s">
        <v>13</v>
      </c>
      <c r="B64" t="s">
        <v>16</v>
      </c>
      <c r="C64" t="s">
        <v>11</v>
      </c>
      <c r="D64" t="s">
        <v>108</v>
      </c>
    </row>
    <row r="65" spans="1:4">
      <c r="A65" t="s">
        <v>13</v>
      </c>
      <c r="B65" t="s">
        <v>16</v>
      </c>
      <c r="C65" t="s">
        <v>11</v>
      </c>
      <c r="D65" t="s">
        <v>108</v>
      </c>
    </row>
    <row r="66" spans="1:4">
      <c r="A66" t="s">
        <v>13</v>
      </c>
      <c r="B66" t="s">
        <v>16</v>
      </c>
      <c r="C66" t="s">
        <v>11</v>
      </c>
      <c r="D66" t="s">
        <v>108</v>
      </c>
    </row>
    <row r="67" spans="1:4">
      <c r="A67" t="s">
        <v>13</v>
      </c>
      <c r="B67" t="s">
        <v>16</v>
      </c>
      <c r="C67" t="s">
        <v>11</v>
      </c>
      <c r="D67" t="s">
        <v>108</v>
      </c>
    </row>
    <row r="68" spans="1:4">
      <c r="A68" t="s">
        <v>13</v>
      </c>
      <c r="B68" t="s">
        <v>16</v>
      </c>
      <c r="C68" t="s">
        <v>16</v>
      </c>
      <c r="D68" t="s">
        <v>16</v>
      </c>
    </row>
    <row r="69" spans="1:4">
      <c r="A69" t="s">
        <v>13</v>
      </c>
      <c r="B69" t="s">
        <v>16</v>
      </c>
      <c r="C69" t="s">
        <v>16</v>
      </c>
      <c r="D69" t="s">
        <v>16</v>
      </c>
    </row>
    <row r="70" spans="1:4">
      <c r="A70" t="s">
        <v>28</v>
      </c>
      <c r="B70" t="s">
        <v>16</v>
      </c>
      <c r="C70" t="s">
        <v>16</v>
      </c>
      <c r="D70" t="s">
        <v>16</v>
      </c>
    </row>
    <row r="71" spans="1:4">
      <c r="A71" t="s">
        <v>28</v>
      </c>
      <c r="B71" t="s">
        <v>16</v>
      </c>
      <c r="C71" t="s">
        <v>16</v>
      </c>
      <c r="D71" t="s">
        <v>16</v>
      </c>
    </row>
    <row r="72" spans="1:4">
      <c r="A72" t="s">
        <v>28</v>
      </c>
      <c r="B72" t="s">
        <v>16</v>
      </c>
      <c r="C72" t="s">
        <v>16</v>
      </c>
      <c r="D72" t="s">
        <v>16</v>
      </c>
    </row>
    <row r="73" spans="1:4">
      <c r="A73" t="s">
        <v>28</v>
      </c>
      <c r="B73" t="s">
        <v>16</v>
      </c>
      <c r="C73" t="s">
        <v>16</v>
      </c>
      <c r="D73" t="s">
        <v>16</v>
      </c>
    </row>
    <row r="74" spans="1:4">
      <c r="A74" t="s">
        <v>28</v>
      </c>
      <c r="B74" t="s">
        <v>16</v>
      </c>
      <c r="C74" t="s">
        <v>16</v>
      </c>
      <c r="D74" t="s">
        <v>16</v>
      </c>
    </row>
    <row r="75" spans="1:4">
      <c r="A75" t="s">
        <v>28</v>
      </c>
      <c r="B75" t="s">
        <v>16</v>
      </c>
      <c r="C75" t="s">
        <v>16</v>
      </c>
      <c r="D75" t="s">
        <v>16</v>
      </c>
    </row>
    <row r="76" spans="1:4">
      <c r="A76" t="s">
        <v>93</v>
      </c>
      <c r="B76" t="s">
        <v>16</v>
      </c>
      <c r="C76" t="s">
        <v>11</v>
      </c>
      <c r="D76" t="s">
        <v>108</v>
      </c>
    </row>
    <row r="77" spans="1:4">
      <c r="A77" t="s">
        <v>93</v>
      </c>
      <c r="B77" t="s">
        <v>16</v>
      </c>
      <c r="C77" t="s">
        <v>11</v>
      </c>
      <c r="D77" t="s">
        <v>108</v>
      </c>
    </row>
    <row r="78" spans="1:4">
      <c r="A78" t="s">
        <v>13</v>
      </c>
      <c r="B78" t="s">
        <v>16</v>
      </c>
      <c r="C78" t="s">
        <v>16</v>
      </c>
      <c r="D78" t="s">
        <v>16</v>
      </c>
    </row>
    <row r="79" spans="1:4">
      <c r="A79" t="s">
        <v>93</v>
      </c>
      <c r="B79" t="s">
        <v>16</v>
      </c>
      <c r="C79" t="s">
        <v>11</v>
      </c>
      <c r="D79" t="s">
        <v>108</v>
      </c>
    </row>
    <row r="80" spans="1:4">
      <c r="A80" t="s">
        <v>13</v>
      </c>
      <c r="B80" t="s">
        <v>16</v>
      </c>
      <c r="C80" t="s">
        <v>16</v>
      </c>
      <c r="D80" t="s">
        <v>16</v>
      </c>
    </row>
    <row r="81" spans="1:4">
      <c r="A81" t="s">
        <v>93</v>
      </c>
      <c r="B81" t="s">
        <v>16</v>
      </c>
      <c r="C81" t="s">
        <v>11</v>
      </c>
      <c r="D81" t="s">
        <v>16</v>
      </c>
    </row>
    <row r="82" spans="1:4">
      <c r="A82" t="s">
        <v>93</v>
      </c>
      <c r="B82" t="s">
        <v>16</v>
      </c>
      <c r="C82" t="s">
        <v>11</v>
      </c>
      <c r="D82" t="s">
        <v>16</v>
      </c>
    </row>
    <row r="83" spans="1:4">
      <c r="A83" t="s">
        <v>93</v>
      </c>
      <c r="B83" t="s">
        <v>16</v>
      </c>
      <c r="C83" t="s">
        <v>11</v>
      </c>
      <c r="D83" t="s">
        <v>16</v>
      </c>
    </row>
    <row r="84" spans="1:4">
      <c r="A84" t="s">
        <v>13</v>
      </c>
      <c r="B84" t="s">
        <v>16</v>
      </c>
      <c r="C84" t="s">
        <v>11</v>
      </c>
      <c r="D84" t="s">
        <v>108</v>
      </c>
    </row>
    <row r="85" spans="1:4">
      <c r="A85" t="s">
        <v>13</v>
      </c>
      <c r="B85" t="s">
        <v>106</v>
      </c>
      <c r="C85" t="s">
        <v>11</v>
      </c>
      <c r="D85" t="s">
        <v>108</v>
      </c>
    </row>
    <row r="86" spans="1:4">
      <c r="A86" t="s">
        <v>13</v>
      </c>
      <c r="B86" t="s">
        <v>106</v>
      </c>
      <c r="C86" t="s">
        <v>11</v>
      </c>
      <c r="D86" t="s">
        <v>108</v>
      </c>
    </row>
    <row r="87" spans="1:4">
      <c r="A87" t="s">
        <v>13</v>
      </c>
      <c r="B87" t="s">
        <v>106</v>
      </c>
      <c r="C87" t="s">
        <v>11</v>
      </c>
      <c r="D87" t="s">
        <v>108</v>
      </c>
    </row>
    <row r="88" spans="1:4">
      <c r="A88" t="s">
        <v>13</v>
      </c>
      <c r="B88" t="s">
        <v>106</v>
      </c>
      <c r="C88" t="s">
        <v>11</v>
      </c>
      <c r="D88" t="s">
        <v>108</v>
      </c>
    </row>
    <row r="89" spans="1:4">
      <c r="A89" t="s">
        <v>13</v>
      </c>
      <c r="B89" t="s">
        <v>106</v>
      </c>
      <c r="C89" t="s">
        <v>11</v>
      </c>
      <c r="D89" t="s">
        <v>108</v>
      </c>
    </row>
    <row r="90" spans="1:4">
      <c r="A90" t="s">
        <v>13</v>
      </c>
      <c r="B90" t="s">
        <v>16</v>
      </c>
      <c r="C90" t="s">
        <v>16</v>
      </c>
      <c r="D90" t="s">
        <v>16</v>
      </c>
    </row>
    <row r="91" spans="1:4">
      <c r="A91" t="s">
        <v>13</v>
      </c>
      <c r="B91" t="s">
        <v>16</v>
      </c>
      <c r="C91" t="s">
        <v>16</v>
      </c>
      <c r="D91" t="s">
        <v>16</v>
      </c>
    </row>
    <row r="92" spans="1:4">
      <c r="A92" t="s">
        <v>13</v>
      </c>
      <c r="B92" t="s">
        <v>16</v>
      </c>
      <c r="C92" t="s">
        <v>16</v>
      </c>
      <c r="D92" t="s">
        <v>16</v>
      </c>
    </row>
    <row r="93" spans="1:4">
      <c r="A93" t="s">
        <v>13</v>
      </c>
      <c r="B93" t="s">
        <v>16</v>
      </c>
      <c r="C93" t="s">
        <v>16</v>
      </c>
      <c r="D93" t="s">
        <v>16</v>
      </c>
    </row>
    <row r="94" spans="1:4">
      <c r="A94" t="s">
        <v>13</v>
      </c>
      <c r="B94" t="s">
        <v>16</v>
      </c>
      <c r="C94" t="s">
        <v>16</v>
      </c>
      <c r="D94" t="s">
        <v>16</v>
      </c>
    </row>
    <row r="95" spans="1:4">
      <c r="A95" t="s">
        <v>13</v>
      </c>
      <c r="B95" t="s">
        <v>16</v>
      </c>
      <c r="C95" t="s">
        <v>16</v>
      </c>
      <c r="D95" t="s">
        <v>16</v>
      </c>
    </row>
    <row r="96" spans="1:4">
      <c r="A96" t="s">
        <v>13</v>
      </c>
      <c r="B96" t="s">
        <v>16</v>
      </c>
      <c r="C96" t="s">
        <v>16</v>
      </c>
      <c r="D96" t="s">
        <v>16</v>
      </c>
    </row>
    <row r="97" spans="1:4">
      <c r="A97" t="s">
        <v>13</v>
      </c>
      <c r="B97" t="s">
        <v>16</v>
      </c>
      <c r="C97" t="s">
        <v>16</v>
      </c>
      <c r="D97" t="s">
        <v>16</v>
      </c>
    </row>
    <row r="98" spans="1:4">
      <c r="A98" t="s">
        <v>13</v>
      </c>
      <c r="B98" t="s">
        <v>16</v>
      </c>
      <c r="C98" t="s">
        <v>16</v>
      </c>
      <c r="D98" t="s">
        <v>16</v>
      </c>
    </row>
    <row r="99" spans="1:4">
      <c r="A99" t="s">
        <v>13</v>
      </c>
      <c r="B99" t="s">
        <v>16</v>
      </c>
      <c r="C99" t="s">
        <v>16</v>
      </c>
      <c r="D99" t="s">
        <v>16</v>
      </c>
    </row>
    <row r="100" spans="1:4">
      <c r="A100" t="s">
        <v>93</v>
      </c>
      <c r="B100" t="s">
        <v>16</v>
      </c>
      <c r="C100" t="s">
        <v>11</v>
      </c>
      <c r="D100" t="s">
        <v>108</v>
      </c>
    </row>
    <row r="101" spans="1:4">
      <c r="A101" t="s">
        <v>93</v>
      </c>
      <c r="B101" t="s">
        <v>16</v>
      </c>
      <c r="C101" t="s">
        <v>11</v>
      </c>
      <c r="D101" t="s">
        <v>108</v>
      </c>
    </row>
    <row r="102" spans="1:4">
      <c r="A102" t="s">
        <v>13</v>
      </c>
      <c r="B102" t="s">
        <v>16</v>
      </c>
      <c r="C102" t="s">
        <v>16</v>
      </c>
      <c r="D102" t="s">
        <v>16</v>
      </c>
    </row>
    <row r="103" spans="1:4">
      <c r="A103" t="s">
        <v>13</v>
      </c>
      <c r="B103" t="s">
        <v>16</v>
      </c>
      <c r="C103" t="s">
        <v>16</v>
      </c>
      <c r="D103" t="s">
        <v>16</v>
      </c>
    </row>
    <row r="104" spans="1:4">
      <c r="A104" t="s">
        <v>28</v>
      </c>
      <c r="B104" t="s">
        <v>16</v>
      </c>
      <c r="C104" t="s">
        <v>16</v>
      </c>
      <c r="D104" t="s">
        <v>16</v>
      </c>
    </row>
    <row r="105" spans="1:4">
      <c r="A105" t="s">
        <v>93</v>
      </c>
      <c r="B105" t="s">
        <v>16</v>
      </c>
      <c r="C105" t="s">
        <v>11</v>
      </c>
      <c r="D105" t="s">
        <v>108</v>
      </c>
    </row>
    <row r="106" spans="1:4">
      <c r="A106" t="s">
        <v>13</v>
      </c>
      <c r="B106" t="s">
        <v>16</v>
      </c>
      <c r="C106" t="s">
        <v>16</v>
      </c>
      <c r="D106" t="s">
        <v>16</v>
      </c>
    </row>
    <row r="107" spans="1:4">
      <c r="A107" t="s">
        <v>13</v>
      </c>
      <c r="B107" t="s">
        <v>16</v>
      </c>
      <c r="C107" t="s">
        <v>16</v>
      </c>
      <c r="D107" t="s">
        <v>16</v>
      </c>
    </row>
    <row r="108" spans="1:4">
      <c r="A108" t="s">
        <v>13</v>
      </c>
      <c r="B108" t="s">
        <v>16</v>
      </c>
      <c r="C108" t="s">
        <v>16</v>
      </c>
      <c r="D108" t="s">
        <v>16</v>
      </c>
    </row>
    <row r="109" spans="1:4">
      <c r="A109" t="s">
        <v>13</v>
      </c>
      <c r="B109" t="s">
        <v>16</v>
      </c>
      <c r="C109" t="s">
        <v>16</v>
      </c>
      <c r="D109" t="s">
        <v>16</v>
      </c>
    </row>
    <row r="110" spans="1:4">
      <c r="A110" t="s">
        <v>13</v>
      </c>
      <c r="B110" t="s">
        <v>16</v>
      </c>
      <c r="C110" t="s">
        <v>16</v>
      </c>
      <c r="D110" t="s">
        <v>16</v>
      </c>
    </row>
    <row r="111" spans="1:4">
      <c r="A111" t="s">
        <v>13</v>
      </c>
      <c r="B111" t="s">
        <v>16</v>
      </c>
      <c r="C111" t="s">
        <v>16</v>
      </c>
      <c r="D111" t="s">
        <v>16</v>
      </c>
    </row>
    <row r="112" spans="1:4">
      <c r="A112" t="s">
        <v>13</v>
      </c>
      <c r="B112" t="s">
        <v>16</v>
      </c>
      <c r="C112" t="s">
        <v>16</v>
      </c>
      <c r="D112" t="s">
        <v>16</v>
      </c>
    </row>
    <row r="113" spans="1:4">
      <c r="A113" t="s">
        <v>13</v>
      </c>
      <c r="B113" t="s">
        <v>106</v>
      </c>
      <c r="C113" t="s">
        <v>11</v>
      </c>
      <c r="D113" t="s">
        <v>16</v>
      </c>
    </row>
    <row r="114" spans="1:4">
      <c r="A114" t="s">
        <v>13</v>
      </c>
      <c r="B114" t="s">
        <v>106</v>
      </c>
      <c r="C114" t="s">
        <v>11</v>
      </c>
      <c r="D114" t="s">
        <v>16</v>
      </c>
    </row>
    <row r="115" spans="1:4">
      <c r="A115" t="s">
        <v>13</v>
      </c>
      <c r="B115" t="s">
        <v>106</v>
      </c>
      <c r="C115" t="s">
        <v>11</v>
      </c>
      <c r="D115" t="s">
        <v>108</v>
      </c>
    </row>
    <row r="116" spans="1:4">
      <c r="A116" t="s">
        <v>13</v>
      </c>
      <c r="B116" t="s">
        <v>106</v>
      </c>
      <c r="C116" t="s">
        <v>11</v>
      </c>
      <c r="D116" t="s">
        <v>108</v>
      </c>
    </row>
    <row r="117" spans="1:4">
      <c r="A117" t="s">
        <v>13</v>
      </c>
      <c r="B117" t="s">
        <v>106</v>
      </c>
      <c r="C117" t="s">
        <v>11</v>
      </c>
      <c r="D117" t="s">
        <v>108</v>
      </c>
    </row>
    <row r="118" spans="1:4">
      <c r="A118" t="s">
        <v>13</v>
      </c>
      <c r="B118" t="s">
        <v>16</v>
      </c>
      <c r="C118" t="s">
        <v>16</v>
      </c>
      <c r="D118" t="s">
        <v>16</v>
      </c>
    </row>
    <row r="119" spans="1:4">
      <c r="A119" t="s">
        <v>13</v>
      </c>
      <c r="B119" t="s">
        <v>16</v>
      </c>
      <c r="C119" t="s">
        <v>16</v>
      </c>
      <c r="D119" t="s">
        <v>16</v>
      </c>
    </row>
    <row r="120" spans="1:4">
      <c r="A120" t="s">
        <v>13</v>
      </c>
      <c r="B120" t="s">
        <v>16</v>
      </c>
      <c r="C120" t="s">
        <v>16</v>
      </c>
      <c r="D120" t="s">
        <v>16</v>
      </c>
    </row>
    <row r="121" spans="1:4">
      <c r="A121" t="s">
        <v>13</v>
      </c>
      <c r="B121" t="s">
        <v>16</v>
      </c>
      <c r="C121" t="s">
        <v>16</v>
      </c>
      <c r="D121" t="s">
        <v>16</v>
      </c>
    </row>
    <row r="122" spans="1:4">
      <c r="A122" t="s">
        <v>13</v>
      </c>
      <c r="B122" t="s">
        <v>16</v>
      </c>
      <c r="C122" t="s">
        <v>16</v>
      </c>
      <c r="D122" t="s">
        <v>16</v>
      </c>
    </row>
    <row r="123" spans="1:4">
      <c r="A123" t="s">
        <v>13</v>
      </c>
      <c r="B123" t="s">
        <v>16</v>
      </c>
      <c r="C123" t="s">
        <v>16</v>
      </c>
      <c r="D123" t="s">
        <v>16</v>
      </c>
    </row>
    <row r="124" spans="1:4">
      <c r="A124" t="s">
        <v>13</v>
      </c>
      <c r="B124" t="s">
        <v>16</v>
      </c>
      <c r="C124" t="s">
        <v>16</v>
      </c>
      <c r="D124" t="s">
        <v>16</v>
      </c>
    </row>
    <row r="125" spans="1:4">
      <c r="A125" t="s">
        <v>13</v>
      </c>
      <c r="B125" t="s">
        <v>16</v>
      </c>
      <c r="C125" t="s">
        <v>16</v>
      </c>
      <c r="D125" t="s">
        <v>16</v>
      </c>
    </row>
    <row r="126" spans="1:4">
      <c r="A126" t="s">
        <v>13</v>
      </c>
      <c r="B126" t="s">
        <v>106</v>
      </c>
      <c r="C126" t="s">
        <v>11</v>
      </c>
      <c r="D126" t="s">
        <v>108</v>
      </c>
    </row>
    <row r="127" spans="1:4">
      <c r="A127" t="s">
        <v>13</v>
      </c>
      <c r="B127" t="s">
        <v>16</v>
      </c>
      <c r="C127" t="s">
        <v>16</v>
      </c>
      <c r="D127" t="s">
        <v>16</v>
      </c>
    </row>
    <row r="128" spans="1:4">
      <c r="A128" t="s">
        <v>13</v>
      </c>
      <c r="B128" t="s">
        <v>16</v>
      </c>
      <c r="C128" t="s">
        <v>16</v>
      </c>
      <c r="D128" t="s">
        <v>16</v>
      </c>
    </row>
    <row r="129" spans="1:4">
      <c r="A129" t="s">
        <v>13</v>
      </c>
      <c r="B129" t="s">
        <v>16</v>
      </c>
      <c r="C129" t="s">
        <v>16</v>
      </c>
      <c r="D129" t="s">
        <v>16</v>
      </c>
    </row>
    <row r="130" spans="1:4">
      <c r="A130" t="s">
        <v>13</v>
      </c>
      <c r="B130" t="s">
        <v>16</v>
      </c>
      <c r="C130" t="s">
        <v>16</v>
      </c>
      <c r="D130" t="s">
        <v>16</v>
      </c>
    </row>
    <row r="131" spans="1:4">
      <c r="A131" t="s">
        <v>13</v>
      </c>
      <c r="B131" t="s">
        <v>16</v>
      </c>
      <c r="C131" t="s">
        <v>16</v>
      </c>
      <c r="D131" t="s">
        <v>16</v>
      </c>
    </row>
    <row r="132" spans="1:4">
      <c r="A132" t="s">
        <v>13</v>
      </c>
      <c r="B132" t="s">
        <v>16</v>
      </c>
      <c r="C132" t="s">
        <v>16</v>
      </c>
      <c r="D132" t="s">
        <v>16</v>
      </c>
    </row>
    <row r="133" spans="1:4">
      <c r="A133" t="s">
        <v>13</v>
      </c>
      <c r="B133" t="s">
        <v>16</v>
      </c>
      <c r="C133" t="s">
        <v>16</v>
      </c>
      <c r="D133" t="s">
        <v>16</v>
      </c>
    </row>
    <row r="134" spans="1:4">
      <c r="A134" t="s">
        <v>13</v>
      </c>
      <c r="B134" t="s">
        <v>16</v>
      </c>
      <c r="C134" t="s">
        <v>16</v>
      </c>
      <c r="D134" t="s">
        <v>16</v>
      </c>
    </row>
    <row r="135" spans="1:4">
      <c r="A135" t="s">
        <v>13</v>
      </c>
      <c r="B135" t="s">
        <v>16</v>
      </c>
      <c r="C135" t="s">
        <v>16</v>
      </c>
      <c r="D135" t="s">
        <v>16</v>
      </c>
    </row>
    <row r="136" spans="1:4">
      <c r="A136" t="s">
        <v>13</v>
      </c>
      <c r="B136" t="s">
        <v>16</v>
      </c>
      <c r="C136" t="s">
        <v>16</v>
      </c>
      <c r="D136" t="s">
        <v>16</v>
      </c>
    </row>
    <row r="137" spans="1:4">
      <c r="A137" t="s">
        <v>13</v>
      </c>
      <c r="B137" t="s">
        <v>16</v>
      </c>
      <c r="C137" t="s">
        <v>16</v>
      </c>
      <c r="D137" t="s">
        <v>16</v>
      </c>
    </row>
    <row r="138" spans="1:4">
      <c r="A138" t="s">
        <v>13</v>
      </c>
      <c r="B138" t="s">
        <v>16</v>
      </c>
      <c r="C138" t="s">
        <v>16</v>
      </c>
      <c r="D138" t="s">
        <v>16</v>
      </c>
    </row>
    <row r="139" spans="1:4">
      <c r="A139" t="s">
        <v>13</v>
      </c>
      <c r="B139" t="s">
        <v>106</v>
      </c>
      <c r="C139" t="s">
        <v>11</v>
      </c>
      <c r="D139" t="s">
        <v>108</v>
      </c>
    </row>
    <row r="140" spans="1:4">
      <c r="A140" t="s">
        <v>13</v>
      </c>
      <c r="B140" t="s">
        <v>106</v>
      </c>
      <c r="C140" t="s">
        <v>11</v>
      </c>
      <c r="D140" t="s">
        <v>108</v>
      </c>
    </row>
    <row r="141" spans="1:4">
      <c r="A141" t="s">
        <v>13</v>
      </c>
      <c r="B141" t="s">
        <v>106</v>
      </c>
      <c r="C141" t="s">
        <v>11</v>
      </c>
      <c r="D141" t="s">
        <v>108</v>
      </c>
    </row>
    <row r="142" spans="1:4">
      <c r="A142" t="s">
        <v>13</v>
      </c>
      <c r="B142" t="s">
        <v>106</v>
      </c>
      <c r="C142" t="s">
        <v>11</v>
      </c>
      <c r="D142" t="s">
        <v>108</v>
      </c>
    </row>
    <row r="143" spans="1:4">
      <c r="A143" t="s">
        <v>13</v>
      </c>
      <c r="B143" t="s">
        <v>106</v>
      </c>
      <c r="C143" t="s">
        <v>11</v>
      </c>
      <c r="D143" t="s">
        <v>108</v>
      </c>
    </row>
    <row r="144" spans="1:4">
      <c r="A144" t="s">
        <v>13</v>
      </c>
      <c r="B144" t="s">
        <v>106</v>
      </c>
      <c r="C144" t="s">
        <v>11</v>
      </c>
      <c r="D144" t="s">
        <v>108</v>
      </c>
    </row>
    <row r="145" spans="1:4">
      <c r="A145" t="s">
        <v>13</v>
      </c>
      <c r="B145" t="s">
        <v>106</v>
      </c>
      <c r="C145" t="s">
        <v>11</v>
      </c>
      <c r="D145" t="s">
        <v>108</v>
      </c>
    </row>
    <row r="146" spans="1:4">
      <c r="A146" t="s">
        <v>13</v>
      </c>
      <c r="B146" t="s">
        <v>106</v>
      </c>
      <c r="C146" t="s">
        <v>11</v>
      </c>
      <c r="D146" t="s">
        <v>108</v>
      </c>
    </row>
    <row r="147" spans="1:4">
      <c r="A147" t="s">
        <v>13</v>
      </c>
      <c r="B147" t="s">
        <v>106</v>
      </c>
      <c r="C147" t="s">
        <v>16</v>
      </c>
      <c r="D147" t="s">
        <v>108</v>
      </c>
    </row>
    <row r="148" spans="1:4">
      <c r="A148" t="s">
        <v>13</v>
      </c>
      <c r="B148" t="s">
        <v>106</v>
      </c>
      <c r="C148" t="s">
        <v>11</v>
      </c>
      <c r="D148" t="s">
        <v>108</v>
      </c>
    </row>
    <row r="149" spans="1:4">
      <c r="A149" t="s">
        <v>13</v>
      </c>
      <c r="B149" t="s">
        <v>106</v>
      </c>
      <c r="C149" t="s">
        <v>11</v>
      </c>
      <c r="D149" t="s">
        <v>108</v>
      </c>
    </row>
    <row r="150" spans="1:4">
      <c r="A150" t="s">
        <v>13</v>
      </c>
      <c r="B150" t="s">
        <v>106</v>
      </c>
      <c r="C150" t="s">
        <v>11</v>
      </c>
      <c r="D150" t="s">
        <v>108</v>
      </c>
    </row>
    <row r="151" spans="1:4">
      <c r="A151" t="s">
        <v>13</v>
      </c>
      <c r="B151" t="s">
        <v>16</v>
      </c>
      <c r="C151" t="s">
        <v>11</v>
      </c>
      <c r="D151" t="s">
        <v>16</v>
      </c>
    </row>
    <row r="152" spans="1:4">
      <c r="A152" t="s">
        <v>13</v>
      </c>
      <c r="B152" t="s">
        <v>16</v>
      </c>
      <c r="C152" t="s">
        <v>16</v>
      </c>
      <c r="D152" t="s">
        <v>108</v>
      </c>
    </row>
  </sheetData>
  <sortState ref="F1:G154">
    <sortCondition descending="1" ref="G1:G154"/>
  </sortState>
  <mergeCells count="1">
    <mergeCell ref="J1:M1"/>
  </mergeCells>
  <pageMargins left="0.7" right="0.7" top="0.78740157499999996" bottom="0.78740157499999996"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Mines &amp; IDs</vt:lpstr>
      <vt:lpstr>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matthias</cp:lastModifiedBy>
  <cp:revision>2</cp:revision>
  <dcterms:created xsi:type="dcterms:W3CDTF">2021-09-23T08:52:40Z</dcterms:created>
  <dcterms:modified xsi:type="dcterms:W3CDTF">2022-01-21T16:24:25Z</dcterms:modified>
</cp:coreProperties>
</file>