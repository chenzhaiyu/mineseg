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This column is used to sort the table to get a random distribution of the mining sites
	-Matthias Kahl</t>
      </text>
    </comment>
  </commentList>
</comments>
</file>

<file path=xl/sharedStrings.xml><?xml version="1.0" encoding="utf-8"?>
<sst xmlns="http://schemas.openxmlformats.org/spreadsheetml/2006/main" count="82" uniqueCount="80">
  <si>
    <t>Mining Site</t>
  </si>
  <si>
    <t># of patches</t>
  </si>
  <si>
    <t>random variable</t>
  </si>
  <si>
    <t xml:space="preserve">Rank of random variable </t>
  </si>
  <si>
    <t>fix copy of rank</t>
  </si>
  <si>
    <t>out006</t>
  </si>
  <si>
    <t>Training</t>
  </si>
  <si>
    <t>out066</t>
  </si>
  <si>
    <t>out038</t>
  </si>
  <si>
    <t>out045</t>
  </si>
  <si>
    <t>out015</t>
  </si>
  <si>
    <t>out070</t>
  </si>
  <si>
    <t>out061</t>
  </si>
  <si>
    <t>out011</t>
  </si>
  <si>
    <t>out048</t>
  </si>
  <si>
    <t>out034</t>
  </si>
  <si>
    <t>out057</t>
  </si>
  <si>
    <t>out010</t>
  </si>
  <si>
    <t>out037</t>
  </si>
  <si>
    <t>out047</t>
  </si>
  <si>
    <t>out007</t>
  </si>
  <si>
    <t>out022</t>
  </si>
  <si>
    <t>out043</t>
  </si>
  <si>
    <t>out063</t>
  </si>
  <si>
    <t>out071</t>
  </si>
  <si>
    <t>Patches</t>
  </si>
  <si>
    <t>out035</t>
  </si>
  <si>
    <t>out017</t>
  </si>
  <si>
    <t>out058</t>
  </si>
  <si>
    <t>out033</t>
  </si>
  <si>
    <t>out040</t>
  </si>
  <si>
    <t>out028</t>
  </si>
  <si>
    <t>out051</t>
  </si>
  <si>
    <t>out025</t>
  </si>
  <si>
    <t>out001</t>
  </si>
  <si>
    <t>out068</t>
  </si>
  <si>
    <t>out059</t>
  </si>
  <si>
    <t>out019</t>
  </si>
  <si>
    <t>out014</t>
  </si>
  <si>
    <t>out009</t>
  </si>
  <si>
    <t>out020</t>
  </si>
  <si>
    <t>out008</t>
  </si>
  <si>
    <t>out013</t>
  </si>
  <si>
    <t>out036</t>
  </si>
  <si>
    <t>out062</t>
  </si>
  <si>
    <t>out031</t>
  </si>
  <si>
    <t>Validation</t>
  </si>
  <si>
    <t>out053</t>
  </si>
  <si>
    <t>out023</t>
  </si>
  <si>
    <t>out016</t>
  </si>
  <si>
    <t>out055</t>
  </si>
  <si>
    <t>out021</t>
  </si>
  <si>
    <t>out065</t>
  </si>
  <si>
    <t>out032</t>
  </si>
  <si>
    <t>out042</t>
  </si>
  <si>
    <t>out018</t>
  </si>
  <si>
    <t>out027</t>
  </si>
  <si>
    <t>out060</t>
  </si>
  <si>
    <t>out046</t>
  </si>
  <si>
    <t>out049</t>
  </si>
  <si>
    <t>out041</t>
  </si>
  <si>
    <t>Test</t>
  </si>
  <si>
    <t>out030</t>
  </si>
  <si>
    <t>out026</t>
  </si>
  <si>
    <t>out044</t>
  </si>
  <si>
    <t>out024</t>
  </si>
  <si>
    <t>out064</t>
  </si>
  <si>
    <t>out052</t>
  </si>
  <si>
    <t>out005</t>
  </si>
  <si>
    <t>out004</t>
  </si>
  <si>
    <t>out056</t>
  </si>
  <si>
    <t>out002</t>
  </si>
  <si>
    <t>out054</t>
  </si>
  <si>
    <t>out050</t>
  </si>
  <si>
    <t>out029</t>
  </si>
  <si>
    <t>out012</t>
  </si>
  <si>
    <t>out067</t>
  </si>
  <si>
    <t>out039</t>
  </si>
  <si>
    <t>out069</t>
  </si>
  <si>
    <t>out003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</si>
</sst>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3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14.75"/>
    <col customWidth="1" min="5" max="5" width="22.38"/>
    <col customWidth="1" min="7" max="7" width="29.63"/>
    <col customWidth="1" min="10" max="10" width="7.0"/>
    <col customWidth="1" min="11" max="11" width="2.25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2"/>
      <c r="G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>
        <v>6006.0</v>
      </c>
      <c r="C2" s="4"/>
      <c r="D2" s="4">
        <f t="shared" ref="D2:D72" si="1">RAND()</f>
        <v>0.7900191772</v>
      </c>
      <c r="E2" s="4">
        <f t="shared" ref="E2:E72" si="2">RANK(D2,D:D)</f>
        <v>14</v>
      </c>
      <c r="F2" s="4"/>
      <c r="G2" s="4">
        <v>1.0</v>
      </c>
      <c r="H2" s="5" t="s">
        <v>6</v>
      </c>
    </row>
    <row r="3">
      <c r="A3" s="3" t="s">
        <v>7</v>
      </c>
      <c r="B3" s="3">
        <v>768.0</v>
      </c>
      <c r="C3" s="4"/>
      <c r="D3" s="4">
        <f t="shared" si="1"/>
        <v>0.5758438975</v>
      </c>
      <c r="E3" s="4">
        <f t="shared" si="2"/>
        <v>25</v>
      </c>
      <c r="F3" s="4"/>
      <c r="G3" s="4">
        <v>2.0</v>
      </c>
    </row>
    <row r="4">
      <c r="A4" s="3" t="s">
        <v>8</v>
      </c>
      <c r="B4" s="3">
        <v>575.0</v>
      </c>
      <c r="C4" s="4"/>
      <c r="D4" s="4">
        <f t="shared" si="1"/>
        <v>0.2600421075</v>
      </c>
      <c r="E4" s="4">
        <f t="shared" si="2"/>
        <v>52</v>
      </c>
      <c r="F4" s="4"/>
      <c r="G4" s="4">
        <v>3.0</v>
      </c>
    </row>
    <row r="5">
      <c r="A5" s="3" t="s">
        <v>9</v>
      </c>
      <c r="B5" s="3">
        <v>3363.0</v>
      </c>
      <c r="C5" s="4"/>
      <c r="D5" s="4">
        <f t="shared" si="1"/>
        <v>0.1607393459</v>
      </c>
      <c r="E5" s="4">
        <f t="shared" si="2"/>
        <v>60</v>
      </c>
      <c r="F5" s="4"/>
      <c r="G5" s="4">
        <v>4.0</v>
      </c>
    </row>
    <row r="6">
      <c r="A6" s="3" t="s">
        <v>10</v>
      </c>
      <c r="B6" s="3">
        <v>13974.0</v>
      </c>
      <c r="C6" s="4"/>
      <c r="D6" s="4">
        <f t="shared" si="1"/>
        <v>0.7148582685</v>
      </c>
      <c r="E6" s="4">
        <f t="shared" si="2"/>
        <v>17</v>
      </c>
      <c r="F6" s="4"/>
      <c r="G6" s="4">
        <v>5.0</v>
      </c>
    </row>
    <row r="7">
      <c r="A7" s="3" t="s">
        <v>11</v>
      </c>
      <c r="B7" s="3">
        <v>42.0</v>
      </c>
      <c r="C7" s="4"/>
      <c r="D7" s="4">
        <f t="shared" si="1"/>
        <v>0.3407436247</v>
      </c>
      <c r="E7" s="4">
        <f t="shared" si="2"/>
        <v>46</v>
      </c>
      <c r="F7" s="4"/>
      <c r="G7" s="4">
        <v>6.0</v>
      </c>
    </row>
    <row r="8">
      <c r="A8" s="3" t="s">
        <v>12</v>
      </c>
      <c r="B8" s="3">
        <v>612.0</v>
      </c>
      <c r="C8" s="4"/>
      <c r="D8" s="4">
        <f t="shared" si="1"/>
        <v>0.9143533364</v>
      </c>
      <c r="E8" s="4">
        <f t="shared" si="2"/>
        <v>6</v>
      </c>
      <c r="F8" s="4"/>
      <c r="G8" s="4">
        <v>7.0</v>
      </c>
    </row>
    <row r="9">
      <c r="A9" s="3" t="s">
        <v>13</v>
      </c>
      <c r="B9" s="3">
        <v>81.0</v>
      </c>
      <c r="C9" s="4"/>
      <c r="D9" s="4">
        <f t="shared" si="1"/>
        <v>0.8654219948</v>
      </c>
      <c r="E9" s="4">
        <f t="shared" si="2"/>
        <v>8</v>
      </c>
      <c r="F9" s="4"/>
      <c r="G9" s="4">
        <v>8.0</v>
      </c>
    </row>
    <row r="10">
      <c r="A10" s="3" t="s">
        <v>14</v>
      </c>
      <c r="B10" s="3">
        <v>4895.0</v>
      </c>
      <c r="C10" s="4"/>
      <c r="D10" s="4">
        <f t="shared" si="1"/>
        <v>0.2121266191</v>
      </c>
      <c r="E10" s="4">
        <f t="shared" si="2"/>
        <v>58</v>
      </c>
      <c r="F10" s="4"/>
      <c r="G10" s="4">
        <v>9.0</v>
      </c>
    </row>
    <row r="11">
      <c r="A11" s="3" t="s">
        <v>15</v>
      </c>
      <c r="B11" s="3">
        <v>1800.0</v>
      </c>
      <c r="C11" s="4"/>
      <c r="D11" s="4">
        <f t="shared" si="1"/>
        <v>0.2570720303</v>
      </c>
      <c r="E11" s="4">
        <f t="shared" si="2"/>
        <v>53</v>
      </c>
      <c r="F11" s="4"/>
      <c r="G11" s="4">
        <v>10.0</v>
      </c>
    </row>
    <row r="12">
      <c r="A12" s="3" t="s">
        <v>16</v>
      </c>
      <c r="B12" s="3">
        <v>100.0</v>
      </c>
      <c r="C12" s="4"/>
      <c r="D12" s="4">
        <f t="shared" si="1"/>
        <v>0.435370124</v>
      </c>
      <c r="E12" s="4">
        <f t="shared" si="2"/>
        <v>39</v>
      </c>
      <c r="F12" s="4"/>
      <c r="G12" s="4">
        <v>11.0</v>
      </c>
    </row>
    <row r="13">
      <c r="A13" s="3" t="s">
        <v>17</v>
      </c>
      <c r="B13" s="3">
        <v>21105.0</v>
      </c>
      <c r="C13" s="4"/>
      <c r="D13" s="4">
        <f t="shared" si="1"/>
        <v>0.5066146344</v>
      </c>
      <c r="E13" s="4">
        <f t="shared" si="2"/>
        <v>33</v>
      </c>
      <c r="F13" s="4"/>
      <c r="G13" s="4">
        <v>12.0</v>
      </c>
    </row>
    <row r="14">
      <c r="A14" s="3" t="s">
        <v>18</v>
      </c>
      <c r="B14" s="3">
        <v>552.0</v>
      </c>
      <c r="C14" s="4"/>
      <c r="D14" s="4">
        <f t="shared" si="1"/>
        <v>0.3621213416</v>
      </c>
      <c r="E14" s="4">
        <f t="shared" si="2"/>
        <v>43</v>
      </c>
      <c r="F14" s="4"/>
      <c r="G14" s="4">
        <v>13.0</v>
      </c>
    </row>
    <row r="15">
      <c r="A15" s="3" t="s">
        <v>19</v>
      </c>
      <c r="B15" s="3">
        <v>1824.0</v>
      </c>
      <c r="C15" s="4"/>
      <c r="D15" s="4">
        <f t="shared" si="1"/>
        <v>0.3642491839</v>
      </c>
      <c r="E15" s="4">
        <f t="shared" si="2"/>
        <v>42</v>
      </c>
      <c r="F15" s="4"/>
      <c r="G15" s="4">
        <v>14.0</v>
      </c>
    </row>
    <row r="16">
      <c r="A16" s="3" t="s">
        <v>20</v>
      </c>
      <c r="B16" s="3">
        <v>3450.0</v>
      </c>
      <c r="C16" s="4"/>
      <c r="D16" s="4">
        <f t="shared" si="1"/>
        <v>0.588667805</v>
      </c>
      <c r="E16" s="4">
        <f t="shared" si="2"/>
        <v>23</v>
      </c>
      <c r="F16" s="4"/>
      <c r="G16" s="4">
        <v>15.0</v>
      </c>
    </row>
    <row r="17">
      <c r="A17" s="3" t="s">
        <v>21</v>
      </c>
      <c r="B17" s="3">
        <v>2701.0</v>
      </c>
      <c r="C17" s="4"/>
      <c r="D17" s="4">
        <f t="shared" si="1"/>
        <v>0.4789184099</v>
      </c>
      <c r="E17" s="4">
        <f t="shared" si="2"/>
        <v>35</v>
      </c>
      <c r="F17" s="4"/>
      <c r="G17" s="4">
        <v>16.0</v>
      </c>
    </row>
    <row r="18">
      <c r="A18" s="3" t="s">
        <v>22</v>
      </c>
      <c r="B18" s="3">
        <v>38088.0</v>
      </c>
      <c r="C18" s="4"/>
      <c r="D18" s="4">
        <f t="shared" si="1"/>
        <v>0.3189607863</v>
      </c>
      <c r="E18" s="4">
        <f t="shared" si="2"/>
        <v>47</v>
      </c>
      <c r="F18" s="4"/>
      <c r="G18" s="4">
        <v>17.0</v>
      </c>
    </row>
    <row r="19">
      <c r="A19" s="3" t="s">
        <v>23</v>
      </c>
      <c r="B19" s="3">
        <v>3900.0</v>
      </c>
      <c r="C19" s="4"/>
      <c r="D19" s="4">
        <f t="shared" si="1"/>
        <v>0.2848895244</v>
      </c>
      <c r="E19" s="4">
        <f t="shared" si="2"/>
        <v>51</v>
      </c>
      <c r="F19" s="4"/>
      <c r="G19" s="4">
        <v>18.0</v>
      </c>
    </row>
    <row r="20">
      <c r="A20" s="3" t="s">
        <v>24</v>
      </c>
      <c r="B20" s="3">
        <v>1612.0</v>
      </c>
      <c r="C20" s="4"/>
      <c r="D20" s="4">
        <f t="shared" si="1"/>
        <v>0.561877555</v>
      </c>
      <c r="E20" s="4">
        <f t="shared" si="2"/>
        <v>26</v>
      </c>
      <c r="F20" s="4"/>
      <c r="G20" s="4">
        <v>19.0</v>
      </c>
      <c r="L20" s="6">
        <f>SUM(B2:B39)</f>
        <v>168510</v>
      </c>
      <c r="M20" s="7" t="s">
        <v>25</v>
      </c>
    </row>
    <row r="21">
      <c r="A21" s="3" t="s">
        <v>26</v>
      </c>
      <c r="B21" s="3">
        <v>3050.0</v>
      </c>
      <c r="C21" s="4"/>
      <c r="D21" s="4">
        <f t="shared" si="1"/>
        <v>0.8992700135</v>
      </c>
      <c r="E21" s="4">
        <f t="shared" si="2"/>
        <v>7</v>
      </c>
      <c r="F21" s="4"/>
      <c r="G21" s="4">
        <v>20.0</v>
      </c>
    </row>
    <row r="22">
      <c r="A22" s="3" t="s">
        <v>27</v>
      </c>
      <c r="B22" s="3">
        <v>1350.0</v>
      </c>
      <c r="C22" s="4"/>
      <c r="D22" s="4">
        <f t="shared" si="1"/>
        <v>0.3139122567</v>
      </c>
      <c r="E22" s="4">
        <f t="shared" si="2"/>
        <v>50</v>
      </c>
      <c r="F22" s="4"/>
      <c r="G22" s="4">
        <v>21.0</v>
      </c>
    </row>
    <row r="23">
      <c r="A23" s="3" t="s">
        <v>28</v>
      </c>
      <c r="B23" s="3">
        <v>7840.0</v>
      </c>
      <c r="C23" s="4"/>
      <c r="D23" s="4">
        <f t="shared" si="1"/>
        <v>0.7804569646</v>
      </c>
      <c r="E23" s="4">
        <f t="shared" si="2"/>
        <v>15</v>
      </c>
      <c r="F23" s="4"/>
      <c r="G23" s="4">
        <v>22.0</v>
      </c>
    </row>
    <row r="24">
      <c r="A24" s="3" t="s">
        <v>29</v>
      </c>
      <c r="B24" s="3">
        <v>14304.0</v>
      </c>
      <c r="C24" s="4"/>
      <c r="D24" s="4">
        <f t="shared" si="1"/>
        <v>0.9728478115</v>
      </c>
      <c r="E24" s="4">
        <f t="shared" si="2"/>
        <v>1</v>
      </c>
      <c r="F24" s="4"/>
      <c r="G24" s="4">
        <v>23.0</v>
      </c>
    </row>
    <row r="25">
      <c r="A25" s="3" t="s">
        <v>30</v>
      </c>
      <c r="B25" s="3">
        <v>72.0</v>
      </c>
      <c r="C25" s="4"/>
      <c r="D25" s="4">
        <f t="shared" si="1"/>
        <v>0.04440271891</v>
      </c>
      <c r="E25" s="4">
        <f t="shared" si="2"/>
        <v>67</v>
      </c>
      <c r="F25" s="4"/>
      <c r="G25" s="4">
        <v>24.0</v>
      </c>
    </row>
    <row r="26">
      <c r="A26" s="3" t="s">
        <v>31</v>
      </c>
      <c r="B26" s="3">
        <v>140.0</v>
      </c>
      <c r="C26" s="4"/>
      <c r="D26" s="4">
        <f t="shared" si="1"/>
        <v>0.6762680016</v>
      </c>
      <c r="E26" s="4">
        <f t="shared" si="2"/>
        <v>21</v>
      </c>
      <c r="F26" s="4"/>
      <c r="G26" s="4">
        <v>25.0</v>
      </c>
    </row>
    <row r="27">
      <c r="A27" s="3" t="s">
        <v>32</v>
      </c>
      <c r="B27" s="3">
        <v>2706.0</v>
      </c>
      <c r="C27" s="4"/>
      <c r="D27" s="4">
        <f t="shared" si="1"/>
        <v>0.07383515879</v>
      </c>
      <c r="E27" s="4">
        <f t="shared" si="2"/>
        <v>65</v>
      </c>
      <c r="F27" s="4"/>
      <c r="G27" s="4">
        <v>26.0</v>
      </c>
    </row>
    <row r="28">
      <c r="A28" s="3" t="s">
        <v>33</v>
      </c>
      <c r="B28" s="3">
        <v>4674.0</v>
      </c>
      <c r="C28" s="4"/>
      <c r="D28" s="4">
        <f t="shared" si="1"/>
        <v>0.7071370216</v>
      </c>
      <c r="E28" s="4">
        <f t="shared" si="2"/>
        <v>19</v>
      </c>
      <c r="F28" s="4"/>
      <c r="G28" s="4">
        <v>27.0</v>
      </c>
    </row>
    <row r="29">
      <c r="A29" s="3" t="s">
        <v>34</v>
      </c>
      <c r="B29" s="3">
        <v>130.0</v>
      </c>
      <c r="C29" s="4"/>
      <c r="D29" s="4">
        <f t="shared" si="1"/>
        <v>0.9564829837</v>
      </c>
      <c r="E29" s="4">
        <f t="shared" si="2"/>
        <v>3</v>
      </c>
      <c r="F29" s="4"/>
      <c r="G29" s="4">
        <v>28.0</v>
      </c>
    </row>
    <row r="30">
      <c r="A30" s="3" t="s">
        <v>35</v>
      </c>
      <c r="B30" s="3">
        <v>1782.0</v>
      </c>
      <c r="C30" s="4"/>
      <c r="D30" s="4">
        <f t="shared" si="1"/>
        <v>0.04245500641</v>
      </c>
      <c r="E30" s="4">
        <f t="shared" si="2"/>
        <v>68</v>
      </c>
      <c r="F30" s="4"/>
      <c r="G30" s="4">
        <v>29.0</v>
      </c>
    </row>
    <row r="31">
      <c r="A31" s="3" t="s">
        <v>36</v>
      </c>
      <c r="B31" s="3">
        <v>1848.0</v>
      </c>
      <c r="C31" s="4"/>
      <c r="D31" s="4">
        <f t="shared" si="1"/>
        <v>0.8138437647</v>
      </c>
      <c r="E31" s="4">
        <f t="shared" si="2"/>
        <v>12</v>
      </c>
      <c r="F31" s="4"/>
      <c r="G31" s="4">
        <v>30.0</v>
      </c>
    </row>
    <row r="32">
      <c r="A32" s="3" t="s">
        <v>37</v>
      </c>
      <c r="B32" s="3">
        <v>3249.0</v>
      </c>
      <c r="C32" s="4"/>
      <c r="D32" s="4">
        <f t="shared" si="1"/>
        <v>0.54116703</v>
      </c>
      <c r="E32" s="4">
        <f t="shared" si="2"/>
        <v>29</v>
      </c>
      <c r="F32" s="4"/>
      <c r="G32" s="4">
        <v>31.0</v>
      </c>
    </row>
    <row r="33">
      <c r="A33" s="3" t="s">
        <v>38</v>
      </c>
      <c r="B33" s="3">
        <v>255.0</v>
      </c>
      <c r="C33" s="4"/>
      <c r="D33" s="4">
        <f t="shared" si="1"/>
        <v>0.834629005</v>
      </c>
      <c r="E33" s="4">
        <f t="shared" si="2"/>
        <v>11</v>
      </c>
      <c r="F33" s="4"/>
      <c r="G33" s="4">
        <v>32.0</v>
      </c>
    </row>
    <row r="34">
      <c r="A34" s="3" t="s">
        <v>39</v>
      </c>
      <c r="B34" s="3">
        <v>850.0</v>
      </c>
      <c r="C34" s="4"/>
      <c r="D34" s="4">
        <f t="shared" si="1"/>
        <v>0.9406642138</v>
      </c>
      <c r="E34" s="4">
        <f t="shared" si="2"/>
        <v>5</v>
      </c>
      <c r="F34" s="4"/>
      <c r="G34" s="4">
        <v>33.0</v>
      </c>
    </row>
    <row r="35">
      <c r="A35" s="3" t="s">
        <v>40</v>
      </c>
      <c r="B35" s="3">
        <v>2408.0</v>
      </c>
      <c r="C35" s="4"/>
      <c r="D35" s="4">
        <f t="shared" si="1"/>
        <v>0.7998950309</v>
      </c>
      <c r="E35" s="4">
        <f t="shared" si="2"/>
        <v>13</v>
      </c>
      <c r="F35" s="4"/>
      <c r="G35" s="4">
        <v>34.0</v>
      </c>
    </row>
    <row r="36">
      <c r="A36" s="3" t="s">
        <v>41</v>
      </c>
      <c r="B36" s="3">
        <v>7298.0</v>
      </c>
      <c r="C36" s="4"/>
      <c r="D36" s="4">
        <f t="shared" si="1"/>
        <v>0.539593268</v>
      </c>
      <c r="E36" s="4">
        <f t="shared" si="2"/>
        <v>30</v>
      </c>
      <c r="F36" s="4"/>
      <c r="G36" s="4">
        <v>35.0</v>
      </c>
    </row>
    <row r="37">
      <c r="A37" s="3" t="s">
        <v>42</v>
      </c>
      <c r="B37" s="3">
        <v>3402.0</v>
      </c>
      <c r="C37" s="4"/>
      <c r="D37" s="4">
        <f t="shared" si="1"/>
        <v>0.7138067789</v>
      </c>
      <c r="E37" s="4">
        <f t="shared" si="2"/>
        <v>18</v>
      </c>
      <c r="F37" s="4"/>
      <c r="G37" s="4">
        <v>36.0</v>
      </c>
    </row>
    <row r="38">
      <c r="A38" s="3" t="s">
        <v>43</v>
      </c>
      <c r="B38" s="3">
        <v>7200.0</v>
      </c>
      <c r="C38" s="4"/>
      <c r="D38" s="4">
        <f t="shared" si="1"/>
        <v>0.2361374972</v>
      </c>
      <c r="E38" s="4">
        <f t="shared" si="2"/>
        <v>54</v>
      </c>
      <c r="F38" s="4"/>
      <c r="G38" s="4">
        <v>37.0</v>
      </c>
    </row>
    <row r="39">
      <c r="A39" s="3" t="s">
        <v>44</v>
      </c>
      <c r="B39" s="3">
        <v>504.0</v>
      </c>
      <c r="C39" s="4"/>
      <c r="D39" s="4">
        <f t="shared" si="1"/>
        <v>0.3593994123</v>
      </c>
      <c r="E39" s="4">
        <f t="shared" si="2"/>
        <v>44</v>
      </c>
      <c r="F39" s="4"/>
      <c r="G39" s="4">
        <v>38.0</v>
      </c>
    </row>
    <row r="40">
      <c r="A40" s="8" t="s">
        <v>45</v>
      </c>
      <c r="B40" s="8">
        <v>1092.0</v>
      </c>
      <c r="C40" s="9"/>
      <c r="D40" s="9">
        <f t="shared" si="1"/>
        <v>0.02892403775</v>
      </c>
      <c r="E40" s="9">
        <f t="shared" si="2"/>
        <v>69</v>
      </c>
      <c r="F40" s="9"/>
      <c r="G40" s="9">
        <v>39.0</v>
      </c>
      <c r="H40" s="10" t="s">
        <v>46</v>
      </c>
    </row>
    <row r="41">
      <c r="A41" s="8" t="s">
        <v>47</v>
      </c>
      <c r="B41" s="8">
        <v>96.0</v>
      </c>
      <c r="C41" s="9"/>
      <c r="D41" s="9">
        <f t="shared" si="1"/>
        <v>0.8476378651</v>
      </c>
      <c r="E41" s="9">
        <f t="shared" si="2"/>
        <v>10</v>
      </c>
      <c r="F41" s="9"/>
      <c r="G41" s="9">
        <v>40.0</v>
      </c>
    </row>
    <row r="42">
      <c r="A42" s="8" t="s">
        <v>48</v>
      </c>
      <c r="B42" s="8">
        <v>2040.0</v>
      </c>
      <c r="C42" s="9"/>
      <c r="D42" s="9">
        <f t="shared" si="1"/>
        <v>0.5013519991</v>
      </c>
      <c r="E42" s="9">
        <f t="shared" si="2"/>
        <v>34</v>
      </c>
      <c r="F42" s="9"/>
      <c r="G42" s="9">
        <v>41.0</v>
      </c>
    </row>
    <row r="43">
      <c r="A43" s="8" t="s">
        <v>49</v>
      </c>
      <c r="B43" s="8">
        <v>3920.0</v>
      </c>
      <c r="C43" s="9"/>
      <c r="D43" s="9">
        <f t="shared" si="1"/>
        <v>0.5761931559</v>
      </c>
      <c r="E43" s="9">
        <f t="shared" si="2"/>
        <v>24</v>
      </c>
      <c r="F43" s="9"/>
      <c r="G43" s="9">
        <v>42.0</v>
      </c>
    </row>
    <row r="44">
      <c r="A44" s="8" t="s">
        <v>50</v>
      </c>
      <c r="B44" s="8">
        <v>1196.0</v>
      </c>
      <c r="C44" s="9"/>
      <c r="D44" s="9">
        <f t="shared" si="1"/>
        <v>0.5441478249</v>
      </c>
      <c r="E44" s="9">
        <f t="shared" si="2"/>
        <v>28</v>
      </c>
      <c r="F44" s="9"/>
      <c r="G44" s="9">
        <v>43.0</v>
      </c>
    </row>
    <row r="45">
      <c r="A45" s="8" t="s">
        <v>51</v>
      </c>
      <c r="B45" s="8">
        <v>1734.0</v>
      </c>
      <c r="C45" s="9"/>
      <c r="D45" s="9">
        <f t="shared" si="1"/>
        <v>0.1579423636</v>
      </c>
      <c r="E45" s="9">
        <f t="shared" si="2"/>
        <v>61</v>
      </c>
      <c r="F45" s="9"/>
      <c r="G45" s="9">
        <v>44.0</v>
      </c>
    </row>
    <row r="46">
      <c r="A46" s="8" t="s">
        <v>52</v>
      </c>
      <c r="B46" s="8">
        <v>4884.0</v>
      </c>
      <c r="C46" s="9"/>
      <c r="D46" s="9">
        <f t="shared" si="1"/>
        <v>0.2356925232</v>
      </c>
      <c r="E46" s="9">
        <f t="shared" si="2"/>
        <v>55</v>
      </c>
      <c r="F46" s="9"/>
      <c r="G46" s="9">
        <v>45.0</v>
      </c>
    </row>
    <row r="47">
      <c r="A47" s="8" t="s">
        <v>53</v>
      </c>
      <c r="B47" s="8">
        <v>2745.0</v>
      </c>
      <c r="C47" s="9"/>
      <c r="D47" s="9">
        <f t="shared" si="1"/>
        <v>0.4051741276</v>
      </c>
      <c r="E47" s="9">
        <f t="shared" si="2"/>
        <v>40</v>
      </c>
      <c r="F47" s="9"/>
      <c r="G47" s="9">
        <v>46.0</v>
      </c>
      <c r="L47" s="6">
        <f>SUM(B40:B53)</f>
        <v>41591</v>
      </c>
      <c r="M47" s="7" t="s">
        <v>25</v>
      </c>
    </row>
    <row r="48">
      <c r="A48" s="8" t="s">
        <v>54</v>
      </c>
      <c r="B48" s="8">
        <v>5070.0</v>
      </c>
      <c r="C48" s="9"/>
      <c r="D48" s="9">
        <f t="shared" si="1"/>
        <v>0.5211045642</v>
      </c>
      <c r="E48" s="9">
        <f t="shared" si="2"/>
        <v>32</v>
      </c>
      <c r="F48" s="9"/>
      <c r="G48" s="9">
        <v>47.0</v>
      </c>
    </row>
    <row r="49">
      <c r="A49" s="8" t="s">
        <v>55</v>
      </c>
      <c r="B49" s="8">
        <v>1680.0</v>
      </c>
      <c r="C49" s="9"/>
      <c r="D49" s="9">
        <f t="shared" si="1"/>
        <v>0.09137977017</v>
      </c>
      <c r="E49" s="9">
        <f t="shared" si="2"/>
        <v>63</v>
      </c>
      <c r="F49" s="9"/>
      <c r="G49" s="9">
        <v>48.0</v>
      </c>
    </row>
    <row r="50">
      <c r="A50" s="8" t="s">
        <v>56</v>
      </c>
      <c r="B50" s="8">
        <v>5175.0</v>
      </c>
      <c r="C50" s="9"/>
      <c r="D50" s="9">
        <f t="shared" si="1"/>
        <v>0.0008048984022</v>
      </c>
      <c r="E50" s="9">
        <f t="shared" si="2"/>
        <v>71</v>
      </c>
      <c r="F50" s="9"/>
      <c r="G50" s="9">
        <v>49.0</v>
      </c>
    </row>
    <row r="51">
      <c r="A51" s="8" t="s">
        <v>57</v>
      </c>
      <c r="B51" s="8">
        <v>3744.0</v>
      </c>
      <c r="C51" s="9"/>
      <c r="D51" s="9">
        <f t="shared" si="1"/>
        <v>0.07649721965</v>
      </c>
      <c r="E51" s="9">
        <f t="shared" si="2"/>
        <v>64</v>
      </c>
      <c r="F51" s="9"/>
      <c r="G51" s="9">
        <v>50.0</v>
      </c>
    </row>
    <row r="52">
      <c r="A52" s="8" t="s">
        <v>58</v>
      </c>
      <c r="B52" s="8">
        <v>7840.0</v>
      </c>
      <c r="C52" s="9"/>
      <c r="D52" s="9">
        <f t="shared" si="1"/>
        <v>0.6645626344</v>
      </c>
      <c r="E52" s="9">
        <f t="shared" si="2"/>
        <v>22</v>
      </c>
      <c r="F52" s="9"/>
      <c r="G52" s="9">
        <v>51.0</v>
      </c>
    </row>
    <row r="53">
      <c r="A53" s="8" t="s">
        <v>59</v>
      </c>
      <c r="B53" s="8">
        <v>375.0</v>
      </c>
      <c r="C53" s="9"/>
      <c r="D53" s="9">
        <f t="shared" si="1"/>
        <v>0.2323393047</v>
      </c>
      <c r="E53" s="9">
        <f t="shared" si="2"/>
        <v>56</v>
      </c>
      <c r="F53" s="9"/>
      <c r="G53" s="9">
        <v>52.0</v>
      </c>
    </row>
    <row r="54">
      <c r="A54" s="11" t="s">
        <v>60</v>
      </c>
      <c r="B54" s="11">
        <v>99.0</v>
      </c>
      <c r="C54" s="12"/>
      <c r="D54" s="12">
        <f t="shared" si="1"/>
        <v>0.9606743741</v>
      </c>
      <c r="E54" s="12">
        <f t="shared" si="2"/>
        <v>2</v>
      </c>
      <c r="F54" s="12"/>
      <c r="G54" s="12">
        <v>53.0</v>
      </c>
      <c r="H54" s="13" t="s">
        <v>61</v>
      </c>
    </row>
    <row r="55">
      <c r="A55" s="11" t="s">
        <v>62</v>
      </c>
      <c r="B55" s="11">
        <v>1482.0</v>
      </c>
      <c r="C55" s="12"/>
      <c r="D55" s="12">
        <f t="shared" si="1"/>
        <v>0.09209391734</v>
      </c>
      <c r="E55" s="12">
        <f t="shared" si="2"/>
        <v>62</v>
      </c>
      <c r="F55" s="12"/>
      <c r="G55" s="12">
        <v>54.0</v>
      </c>
    </row>
    <row r="56">
      <c r="A56" s="11" t="s">
        <v>63</v>
      </c>
      <c r="B56" s="11">
        <v>754.0</v>
      </c>
      <c r="C56" s="12"/>
      <c r="D56" s="12">
        <f t="shared" si="1"/>
        <v>0.8604405928</v>
      </c>
      <c r="E56" s="12">
        <f t="shared" si="2"/>
        <v>9</v>
      </c>
      <c r="F56" s="12"/>
      <c r="G56" s="12">
        <v>55.0</v>
      </c>
    </row>
    <row r="57">
      <c r="A57" s="11" t="s">
        <v>64</v>
      </c>
      <c r="B57" s="11">
        <v>7144.0</v>
      </c>
      <c r="C57" s="12"/>
      <c r="D57" s="12">
        <f t="shared" si="1"/>
        <v>0.06127016537</v>
      </c>
      <c r="E57" s="12">
        <f t="shared" si="2"/>
        <v>66</v>
      </c>
      <c r="F57" s="12"/>
      <c r="G57" s="12">
        <v>56.0</v>
      </c>
    </row>
    <row r="58">
      <c r="A58" s="11" t="s">
        <v>65</v>
      </c>
      <c r="B58" s="11">
        <v>957.0</v>
      </c>
      <c r="C58" s="12"/>
      <c r="D58" s="12">
        <f t="shared" si="1"/>
        <v>0.01957499956</v>
      </c>
      <c r="E58" s="12">
        <f t="shared" si="2"/>
        <v>70</v>
      </c>
      <c r="F58" s="12"/>
      <c r="G58" s="12">
        <v>57.0</v>
      </c>
    </row>
    <row r="59">
      <c r="A59" s="11" t="s">
        <v>66</v>
      </c>
      <c r="B59" s="11">
        <v>4745.0</v>
      </c>
      <c r="C59" s="12"/>
      <c r="D59" s="12">
        <f t="shared" si="1"/>
        <v>0.5479451751</v>
      </c>
      <c r="E59" s="12">
        <f t="shared" si="2"/>
        <v>27</v>
      </c>
      <c r="F59" s="12"/>
      <c r="G59" s="12">
        <v>58.0</v>
      </c>
    </row>
    <row r="60">
      <c r="A60" s="11" t="s">
        <v>67</v>
      </c>
      <c r="B60" s="11">
        <v>3572.0</v>
      </c>
      <c r="C60" s="12"/>
      <c r="D60" s="12">
        <f t="shared" si="1"/>
        <v>0.2203387578</v>
      </c>
      <c r="E60" s="12">
        <f t="shared" si="2"/>
        <v>57</v>
      </c>
      <c r="F60" s="12"/>
      <c r="G60" s="12">
        <v>59.0</v>
      </c>
    </row>
    <row r="61">
      <c r="A61" s="11" t="s">
        <v>68</v>
      </c>
      <c r="B61" s="11">
        <v>3450.0</v>
      </c>
      <c r="C61" s="12"/>
      <c r="D61" s="12">
        <f t="shared" si="1"/>
        <v>0.3189319233</v>
      </c>
      <c r="E61" s="12">
        <f t="shared" si="2"/>
        <v>48</v>
      </c>
      <c r="F61" s="12"/>
      <c r="G61" s="12">
        <v>60.0</v>
      </c>
    </row>
    <row r="62">
      <c r="A62" s="11" t="s">
        <v>69</v>
      </c>
      <c r="B62" s="11">
        <v>1645.0</v>
      </c>
      <c r="C62" s="12"/>
      <c r="D62" s="12">
        <f t="shared" si="1"/>
        <v>0.7363868753</v>
      </c>
      <c r="E62" s="12">
        <f t="shared" si="2"/>
        <v>16</v>
      </c>
      <c r="F62" s="12"/>
      <c r="G62" s="12">
        <v>61.0</v>
      </c>
      <c r="L62" s="6">
        <f>SUM(B54:B72)</f>
        <v>43630</v>
      </c>
      <c r="M62" s="7" t="s">
        <v>25</v>
      </c>
    </row>
    <row r="63">
      <c r="A63" s="11" t="s">
        <v>70</v>
      </c>
      <c r="B63" s="11">
        <v>100.0</v>
      </c>
      <c r="C63" s="12"/>
      <c r="D63" s="12">
        <f t="shared" si="1"/>
        <v>0.4774503316</v>
      </c>
      <c r="E63" s="12">
        <f t="shared" si="2"/>
        <v>36</v>
      </c>
      <c r="F63" s="12"/>
      <c r="G63" s="12">
        <v>62.0</v>
      </c>
    </row>
    <row r="64">
      <c r="A64" s="11" t="s">
        <v>71</v>
      </c>
      <c r="B64" s="11">
        <v>528.0</v>
      </c>
      <c r="C64" s="12"/>
      <c r="D64" s="12">
        <f t="shared" si="1"/>
        <v>0.3475226243</v>
      </c>
      <c r="E64" s="12">
        <f t="shared" si="2"/>
        <v>45</v>
      </c>
      <c r="F64" s="12"/>
      <c r="G64" s="12">
        <v>63.0</v>
      </c>
    </row>
    <row r="65">
      <c r="A65" s="11" t="s">
        <v>72</v>
      </c>
      <c r="B65" s="11">
        <v>54.0</v>
      </c>
      <c r="C65" s="12"/>
      <c r="D65" s="12">
        <f t="shared" si="1"/>
        <v>0.5395832307</v>
      </c>
      <c r="E65" s="12">
        <f t="shared" si="2"/>
        <v>31</v>
      </c>
      <c r="F65" s="12"/>
      <c r="G65" s="12">
        <v>64.0</v>
      </c>
    </row>
    <row r="66">
      <c r="A66" s="11" t="s">
        <v>73</v>
      </c>
      <c r="B66" s="11">
        <v>12087.0</v>
      </c>
      <c r="C66" s="12"/>
      <c r="D66" s="12">
        <f t="shared" si="1"/>
        <v>0.4603806738</v>
      </c>
      <c r="E66" s="12">
        <f t="shared" si="2"/>
        <v>37</v>
      </c>
      <c r="F66" s="12"/>
      <c r="G66" s="12">
        <v>65.0</v>
      </c>
    </row>
    <row r="67">
      <c r="A67" s="11" t="s">
        <v>74</v>
      </c>
      <c r="B67" s="11">
        <v>140.0</v>
      </c>
      <c r="C67" s="12"/>
      <c r="D67" s="12">
        <f t="shared" si="1"/>
        <v>0.4043995741</v>
      </c>
      <c r="E67" s="12">
        <f t="shared" si="2"/>
        <v>41</v>
      </c>
      <c r="F67" s="12"/>
      <c r="G67" s="12">
        <v>66.0</v>
      </c>
    </row>
    <row r="68">
      <c r="A68" s="11" t="s">
        <v>75</v>
      </c>
      <c r="B68" s="11">
        <v>285.0</v>
      </c>
      <c r="C68" s="12"/>
      <c r="D68" s="12">
        <f t="shared" si="1"/>
        <v>0.1957263815</v>
      </c>
      <c r="E68" s="12">
        <f t="shared" si="2"/>
        <v>59</v>
      </c>
      <c r="F68" s="12"/>
      <c r="G68" s="12">
        <v>67.0</v>
      </c>
    </row>
    <row r="69">
      <c r="A69" s="11" t="s">
        <v>76</v>
      </c>
      <c r="B69" s="11">
        <v>1960.0</v>
      </c>
      <c r="C69" s="12"/>
      <c r="D69" s="12">
        <f t="shared" si="1"/>
        <v>0.44991715</v>
      </c>
      <c r="E69" s="12">
        <f t="shared" si="2"/>
        <v>38</v>
      </c>
      <c r="F69" s="12"/>
      <c r="G69" s="12">
        <v>68.0</v>
      </c>
    </row>
    <row r="70">
      <c r="A70" s="11" t="s">
        <v>77</v>
      </c>
      <c r="B70" s="11">
        <v>132.0</v>
      </c>
      <c r="C70" s="12"/>
      <c r="D70" s="12">
        <f t="shared" si="1"/>
        <v>0.6814194839</v>
      </c>
      <c r="E70" s="12">
        <f t="shared" si="2"/>
        <v>20</v>
      </c>
      <c r="F70" s="12"/>
      <c r="G70" s="12">
        <v>69.0</v>
      </c>
    </row>
    <row r="71">
      <c r="A71" s="11" t="s">
        <v>78</v>
      </c>
      <c r="B71" s="11">
        <v>16.0</v>
      </c>
      <c r="C71" s="12"/>
      <c r="D71" s="12">
        <f t="shared" si="1"/>
        <v>0.3184706906</v>
      </c>
      <c r="E71" s="12">
        <f t="shared" si="2"/>
        <v>49</v>
      </c>
      <c r="F71" s="12"/>
      <c r="G71" s="12">
        <v>70.0</v>
      </c>
    </row>
    <row r="72">
      <c r="A72" s="11" t="s">
        <v>79</v>
      </c>
      <c r="B72" s="11">
        <v>4480.0</v>
      </c>
      <c r="C72" s="12"/>
      <c r="D72" s="12">
        <f t="shared" si="1"/>
        <v>0.9556216096</v>
      </c>
      <c r="E72" s="12">
        <f t="shared" si="2"/>
        <v>4</v>
      </c>
      <c r="F72" s="12"/>
      <c r="G72" s="12">
        <v>71.0</v>
      </c>
    </row>
  </sheetData>
  <mergeCells count="3">
    <mergeCell ref="H2:K39"/>
    <mergeCell ref="H40:K53"/>
    <mergeCell ref="H54:K72"/>
  </mergeCells>
  <drawing r:id="rId2"/>
  <legacyDrawing r:id="rId3"/>
</worksheet>
</file>