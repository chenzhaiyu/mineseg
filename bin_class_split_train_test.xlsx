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Dropbox\TUM SIPEO\Projekte\RS mining facilities\L-ASM Mining Dataset\"/>
    </mc:Choice>
  </mc:AlternateContent>
  <bookViews>
    <workbookView xWindow="0" yWindow="0" windowWidth="43200" windowHeight="20430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5" i="1"/>
  <c r="D4" i="1"/>
  <c r="D3" i="1"/>
  <c r="A86" i="1"/>
</calcChain>
</file>

<file path=xl/sharedStrings.xml><?xml version="1.0" encoding="utf-8"?>
<sst xmlns="http://schemas.openxmlformats.org/spreadsheetml/2006/main" count="166" uniqueCount="126">
  <si>
    <t>T18GYP_20220221T141729_TCI-72.045459_-46.587753_-71.949329_-46.500855.jp2</t>
  </si>
  <si>
    <t>T18GYR_20220221T141729_TCI-72.011127_-45.079926_-71.883411_-44.981902.jp2</t>
  </si>
  <si>
    <t>T19HBC_20210413T143729_TCI-71.070422_-34.070413_-71.007251_-34.014654.jp2</t>
  </si>
  <si>
    <t>T19HBD_20210413T143729_TCI-71.194018_-32.69441_-71.077289_-32.606533.jp2</t>
  </si>
  <si>
    <t>T19HBE_20210413T143729_TCI-71.038837_-31.754568_-70.898761_-31.649413.jp2</t>
  </si>
  <si>
    <t>T19HBE_20210413T143729_TCI-71.194018_-32.69441_-71.077289_-32.606533.jp2</t>
  </si>
  <si>
    <t>T19HCC_20210413T143729_TCI-70.536212_-34.122725_-70.319232_-34.05221.jp2</t>
  </si>
  <si>
    <t>T19HCC_20210413T143729_TCI-70.733966_-34.322576_-70.630969_-34.221574.jp2</t>
  </si>
  <si>
    <t>T19HCC_20210413T143729_TCI-71.070422_-34.070413_-71.007251_-34.014654.jp2</t>
  </si>
  <si>
    <t>T19HCD_20210413T143729_TCI-70.394763_-33.248571_-70.194263_-33.053111.jp2</t>
  </si>
  <si>
    <t>T19HCD_20210413T143729_TCI-70.908374_-32.601905_-70.838336_-32.553302.jp2</t>
  </si>
  <si>
    <t>T19HCD_20210413T143729_TCI-71.194018_-32.69441_-71.077289_-32.606533.jp2</t>
  </si>
  <si>
    <t>T19HCE_20210413T143729_TCI-70.540332_-31.776752_-70.453815_-31.665778.jp2</t>
  </si>
  <si>
    <t>T19HCE_20210413T143729_TCI-70.908374_-32.601905_-70.838336_-32.553302.jp2</t>
  </si>
  <si>
    <t>T19HCE_20210413T143729_TCI-71.038837_-31.754568_-70.898761_-31.649413.jp2</t>
  </si>
  <si>
    <t>T19HCE_20210413T143729_TCI-71.194018_-32.69441_-71.077289_-32.606533.jp2</t>
  </si>
  <si>
    <t>T19JBF_20210413T143729_TCI-71.038837_-31.754568_-70.898761_-31.649413.jp2</t>
  </si>
  <si>
    <t>T19JBF_20210413T143729_TCI-71.254443_-30.879368_-71.203631_-30.835749.jp2</t>
  </si>
  <si>
    <t>T19JBG_20210411T144721_TCI-71.376666_-30.034153_-71.347827_-30.004426.jp2</t>
  </si>
  <si>
    <t>T19JBH_20210411T144721_TCI-71.268176_-29.766291_-71.200885_-29.684003.jp2</t>
  </si>
  <si>
    <t>T19JBJ_20210411T144721_TCI-71.022357_-28.844199_-70.953693_-28.752737.jp2</t>
  </si>
  <si>
    <t>T19JBJ_20210413T143729_TCI-71.022357_-28.844199_-70.953693_-28.752737.jp2</t>
  </si>
  <si>
    <t>T19JCF_20210413T143729_TCI-70.540332_-31.776752_-70.453815_-31.665778.jp2</t>
  </si>
  <si>
    <t>T19JCF_20210413T143729_TCI-71.038837_-31.754568_-70.898761_-31.649413.jp2</t>
  </si>
  <si>
    <t>T19JCG_20210413T143729_TCI-70.039081_-29.837791_-69.926471_-29.697126.jp2</t>
  </si>
  <si>
    <t>T19JCG_20210413T143729_TCI-71.155566_-30.309592_-71.042956_-30.16722.jp2</t>
  </si>
  <si>
    <t>T19JCH_20210413T143729_TCI-70.039081_-29.837791_-69.926471_-29.697126.jp2</t>
  </si>
  <si>
    <t>T19JCJ_20210411T144721_TCI-70.843829_-28.651555_-70.780658_-28.604544.jp2</t>
  </si>
  <si>
    <t>T19JCJ_20210411T144721_TCI-70.865802_-28.34984_-70.747699_-28.237382.jp2</t>
  </si>
  <si>
    <t>T19JCJ_20210411T144721_TCI-71.022357_-28.844199_-70.953693_-28.752737.jp2</t>
  </si>
  <si>
    <t>T19JCJ_20210413T143729_TCI-70.843829_-28.651555_-70.780658_-28.604544.jp2</t>
  </si>
  <si>
    <t>T19JCJ_20210413T143729_TCI-70.865802_-28.34984_-70.747699_-28.237382.jp2</t>
  </si>
  <si>
    <t>T19JCJ_20210413T143729_TCI-71.022357_-28.844199_-70.953693_-28.752737.jp2</t>
  </si>
  <si>
    <t>T19JCK_20210413T143729_TCI-70.361804_-27.599106_-70.187396_-27.395674.jp2</t>
  </si>
  <si>
    <t>T19JCK_20210413T143729_TCI-70.418109_-27.202861_-70.291766_-27.048859.jp2</t>
  </si>
  <si>
    <t>T19JCL_20210411T144721_TCI-70.390643_-26.626106_-70.254687_-26.470088.jp2</t>
  </si>
  <si>
    <t>T19JCL_20210413T143729_TCI-70.390643_-26.626106_-70.254687_-26.470088.jp2</t>
  </si>
  <si>
    <t>T19JCL_20210413T143729_TCI-70.418109_-27.202861_-70.291766_-27.048859.jp2</t>
  </si>
  <si>
    <t>T19JCM_20210411T144721_TCI-70.611743_-25.688075_-70.565051_-25.641038.jp2</t>
  </si>
  <si>
    <t>T19JCM_20210413T143729_TCI-69.978656_-25.889626_-69.802875_-25.741278.jp2</t>
  </si>
  <si>
    <t>T19JCM_20210413T143729_TCI-70.611743_-25.688075_-70.565051_-25.641038.jp2</t>
  </si>
  <si>
    <t>T19JCN_20210411T144721_TCI-70.435962_-25.026637_-70.354938_-24.919576.jp2</t>
  </si>
  <si>
    <t>T19JCN_20210413T143729_TCI-70.435962_-25.026637_-70.354938_-24.919576.jp2</t>
  </si>
  <si>
    <t>T19JDG_20210413T143729_TCI-70.039081_-29.837791_-69.926471_-29.697126.jp2</t>
  </si>
  <si>
    <t>T19JDH_20210413T143729_TCI-70.039081_-29.837791_-69.926471_-29.697126.jp2</t>
  </si>
  <si>
    <t>T19JDJ_20210413T143729_TCI-69.679278_-28.227702_-69.496631_-28.095734.jp2</t>
  </si>
  <si>
    <t>T19JDK_20210413T143729_TCI-69.344195_-27.588152_-69.232959_-27.511445.jp2</t>
  </si>
  <si>
    <t>T19JDK_20210413T143729_TCI-69.679278_-28.227702_-69.496631_-28.095734.jp2</t>
  </si>
  <si>
    <t>T19JDL_20210413T143729_TCI-69.307117_-26.866472_-69.2_-26.729182.jp2</t>
  </si>
  <si>
    <t>T19JDL_20210413T143729_TCI-69.462298_-26.535224_-69.355182_-26.457794.jp2</t>
  </si>
  <si>
    <t>T19JDL_20210413T143729_TCI-69.682025_-26.318782_-69.507617_-26.186997.jp2</t>
  </si>
  <si>
    <t>T19JDM_20210413T143729_TCI-69.682025_-26.318782_-69.507617_-26.186997.jp2</t>
  </si>
  <si>
    <t>T19JDM_20210413T143729_TCI-69.978656_-25.889626_-69.802875_-25.741278.jp2</t>
  </si>
  <si>
    <t>T19JDN_20210413T143729_TCI-69.599628_-25.143551_-69.471912_-25.051522.jp2</t>
  </si>
  <si>
    <t>T19JDN_20210413T143729_TCI-69.6216_-24.456657_-69.552936_-24.390386.jp2</t>
  </si>
  <si>
    <t>T19KCQ_20220501T144719_TCI-69.964923_-22.687018_-69.791888_-22.424492.jp2</t>
  </si>
  <si>
    <t>T19KCQ_20220501T144719_TCI-70.129718_-23.477865_-69.988269_-23.370756.jp2</t>
  </si>
  <si>
    <t>T19KCQ_20220501T144719_TCI-70.286273_-22.801004_-70.133838_-22.626187.jp2</t>
  </si>
  <si>
    <t>T19KCQ_20220501T144719_TCI-70.317859_-23.369495_-70.212115_-23.252204.jp2</t>
  </si>
  <si>
    <t>T19KCQ_20220503T143731_TCI-70.129718_-23.477865_-69.988269_-23.370756.jp2</t>
  </si>
  <si>
    <t>T19KCR_20220501T144719_TCI-69.964923_-22.687018_-69.791888_-22.424492.jp2</t>
  </si>
  <si>
    <t>T19KCR_20220501T144719_TCI-70.229968_-22.409258_-70.15581_-22.354655.jp2</t>
  </si>
  <si>
    <t>T19KCR_20220501T144719_TCI-70.286273_-22.801004_-70.133838_-22.626187.jp2</t>
  </si>
  <si>
    <t>T19KDP_20210413T143729_TCI-69.6216_-24.456657_-69.552936_-24.390386.jp2</t>
  </si>
  <si>
    <t>T19KDQ_20220501T144719_TCI-69.496631_-22.928807_-69.153308_-22.678149.jp2</t>
  </si>
  <si>
    <t>T19KDQ_20220501T144719_TCI-69.594134_-23.503055_-69.440326_-23.358149.jp2</t>
  </si>
  <si>
    <t>T19KDQ_20220501T144719_TCI-69.964923_-22.687018_-69.791888_-22.424492.jp2</t>
  </si>
  <si>
    <t>T19KDQ_20220503T143731_TCI-69.496631_-22.928807_-69.153308_-22.678149.jp2</t>
  </si>
  <si>
    <t>T19KDQ_20220503T143731_TCI-69.594134_-23.503055_-69.440326_-23.358149.jp2</t>
  </si>
  <si>
    <t>T19KDQ_20220503T143731_TCI-69.964923_-22.687018_-69.791888_-22.424492.jp2</t>
  </si>
  <si>
    <t>T19KDR_20220501T144719_TCI-69.496631_-22.928807_-69.153308_-22.678149.jp2</t>
  </si>
  <si>
    <t>T19KDR_20220501T144719_TCI-69.964923_-22.687018_-69.791888_-22.424492.jp2</t>
  </si>
  <si>
    <t>T19KDR_20220503T143731_TCI-69.496631_-22.928807_-69.153308_-22.678149.jp2</t>
  </si>
  <si>
    <t>T19KDR_20220503T143731_TCI-69.964923_-22.687018_-69.791888_-22.424492.jp2</t>
  </si>
  <si>
    <t>T19KDT_20220501T144719_TCI-69.350289_-20.130951_-69.177941_-19.983245.jp2</t>
  </si>
  <si>
    <t>T19KDT_20220503T143731_TCI-69.350289_-20.130951_-69.177941_-19.983245.jp2</t>
  </si>
  <si>
    <t>T19KDU_20220501T144719_TCI-69.350289_-20.130951_-69.177941_-19.983245.jp2</t>
  </si>
  <si>
    <t>T19KEP_20220503T143731_TCI-68.88689_-23.510611_-68.742694_-23.34428.jp2</t>
  </si>
  <si>
    <t>T19KEQ_20220503T143731_TCI-68.88689_-23.510611_-68.742694_-23.34428.jp2</t>
  </si>
  <si>
    <t>T19KER_20220503T143731_TCI-68.837837_-22.385967_-68.822946_-22.373626.jp2</t>
  </si>
  <si>
    <t>T19KER_20220503T143731_TCI-68.892984_-22.090307_-68.604592_-21.858526.jp2</t>
  </si>
  <si>
    <t>T19KES_20220503T143731_TCI-68.896417_-21.076386_-68.520822_-20.866085.jp2</t>
  </si>
  <si>
    <t>T19KET_20220503T143731_TCI-68.896417_-21.076386_-68.520822_-20.866085.jp2</t>
  </si>
  <si>
    <t>-72.045459_-46.587753_-71.949329_-46.500855</t>
  </si>
  <si>
    <t>-72.011127_-45.079926_-71.883411_-44.981902</t>
  </si>
  <si>
    <t>-71.070422_-34.070413_-71.007251_-34.014654</t>
  </si>
  <si>
    <t>-71.194018_-32.69441_-71.077289_-32.606533</t>
  </si>
  <si>
    <t>-71.038837_-31.754568_-70.898761_-31.649413</t>
  </si>
  <si>
    <t>-70.536212_-34.122725_-70.319232_-34.05221</t>
  </si>
  <si>
    <t>-70.733966_-34.322576_-70.630969_-34.221574</t>
  </si>
  <si>
    <t>-70.394763_-33.248571_-70.194263_-33.053111</t>
  </si>
  <si>
    <t>-70.908374_-32.601905_-70.838336_-32.553302</t>
  </si>
  <si>
    <t>-70.540332_-31.776752_-70.453815_-31.665778</t>
  </si>
  <si>
    <t>-71.254443_-30.879368_-71.203631_-30.835749</t>
  </si>
  <si>
    <t>-71.376666_-30.034153_-71.347827_-30.004426</t>
  </si>
  <si>
    <t>-71.268176_-29.766291_-71.200885_-29.684003</t>
  </si>
  <si>
    <t>-71.022357_-28.844199_-70.953693_-28.752737</t>
  </si>
  <si>
    <t>-70.039081_-29.837791_-69.926471_-29.697126</t>
  </si>
  <si>
    <t>-71.155566_-30.309592_-71.042956_-30.16722</t>
  </si>
  <si>
    <t>-70.843829_-28.651555_-70.780658_-28.604544</t>
  </si>
  <si>
    <t>-70.865802_-28.34984_-70.747699_-28.237382</t>
  </si>
  <si>
    <t>-70.361804_-27.599106_-70.187396_-27.395674</t>
  </si>
  <si>
    <t>-70.418109_-27.202861_-70.291766_-27.048859</t>
  </si>
  <si>
    <t>-70.390643_-26.626106_-70.254687_-26.470088</t>
  </si>
  <si>
    <t>-70.611743_-25.688075_-70.565051_-25.641038</t>
  </si>
  <si>
    <t>-69.978656_-25.889626_-69.802875_-25.741278</t>
  </si>
  <si>
    <t>-70.435962_-25.026637_-70.354938_-24.919576</t>
  </si>
  <si>
    <t>-69.679278_-28.227702_-69.496631_-28.095734</t>
  </si>
  <si>
    <t>-69.344195_-27.588152_-69.232959_-27.511445</t>
  </si>
  <si>
    <t>-69.307117_-26.866472_-69.2_-26.729182</t>
  </si>
  <si>
    <t>-69.462298_-26.535224_-69.355182_-26.457794</t>
  </si>
  <si>
    <t>-69.682025_-26.318782_-69.507617_-26.186997</t>
  </si>
  <si>
    <t>-69.599628_-25.143551_-69.471912_-25.051522</t>
  </si>
  <si>
    <t>-69.6216_-24.456657_-69.552936_-24.390386</t>
  </si>
  <si>
    <t>-69.964923_-22.687018_-69.791888_-22.424492</t>
  </si>
  <si>
    <t>-70.129718_-23.477865_-69.988269_-23.370756</t>
  </si>
  <si>
    <t>-70.286273_-22.801004_-70.133838_-22.626187</t>
  </si>
  <si>
    <t>-70.317859_-23.369495_-70.212115_-23.252204</t>
  </si>
  <si>
    <t>-70.229968_-22.409258_-70.15581_-22.354655</t>
  </si>
  <si>
    <t>-69.496631_-22.928807_-69.153308_-22.678149</t>
  </si>
  <si>
    <t>-69.594134_-23.503055_-69.440326_-23.358149</t>
  </si>
  <si>
    <t>-69.350289_-20.130951_-69.177941_-19.983245</t>
  </si>
  <si>
    <t>-68.88689_-23.510611_-68.742694_-23.34428</t>
  </si>
  <si>
    <t>-68.837837_-22.385967_-68.822946_-22.373626</t>
  </si>
  <si>
    <t>-68.892984_-22.090307_-68.604592_-21.858526</t>
  </si>
  <si>
    <t>-68.896417_-21.076386_-68.520822_-20.866085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</si>
</sst>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86"/>
  <sheetViews>
    <sheetView tabSelected="1" workbookViewId="0">
      <selection activeCell="H25" sqref="H25"/>
    </sheetView>
  </sheetViews>
  <sheetFormatPr baseColWidth="10" defaultRowHeight="15" x14ac:dyDescent="0.25"/>
  <cols>
    <col min="1" max="1" width="15.5703125" style="1" customWidth="1"/>
    <col min="2" max="2" width="85.7109375" style="1" customWidth="1"/>
    <col min="6" max="6" width="48.5703125" customWidth="1"/>
  </cols>
  <sheetData>
    <row r="3" spans="1:6" x14ac:dyDescent="0.25">
      <c r="A3" s="1">
        <v>364369</v>
      </c>
      <c r="B3" s="1" t="s">
        <v>0</v>
      </c>
      <c r="D3">
        <f>A3</f>
        <v>364369</v>
      </c>
      <c r="F3" t="s">
        <v>83</v>
      </c>
    </row>
    <row r="4" spans="1:6" x14ac:dyDescent="0.25">
      <c r="A4" s="1">
        <v>181266</v>
      </c>
      <c r="B4" s="1" t="s">
        <v>1</v>
      </c>
      <c r="D4">
        <f>D3+A4</f>
        <v>545635</v>
      </c>
      <c r="F4" t="s">
        <v>84</v>
      </c>
    </row>
    <row r="5" spans="1:6" x14ac:dyDescent="0.25">
      <c r="A5" s="1">
        <v>64237</v>
      </c>
      <c r="B5" s="1" t="s">
        <v>2</v>
      </c>
      <c r="D5">
        <f>D4+A5</f>
        <v>609872</v>
      </c>
      <c r="F5" t="s">
        <v>85</v>
      </c>
    </row>
    <row r="6" spans="1:6" x14ac:dyDescent="0.25">
      <c r="A6" s="1">
        <v>805511</v>
      </c>
      <c r="B6" s="1" t="s">
        <v>3</v>
      </c>
      <c r="D6">
        <f t="shared" ref="D6:D69" si="0">D5+A6</f>
        <v>1415383</v>
      </c>
      <c r="F6" t="s">
        <v>86</v>
      </c>
    </row>
    <row r="7" spans="1:6" x14ac:dyDescent="0.25">
      <c r="A7" s="1">
        <v>323884</v>
      </c>
      <c r="B7" s="1" t="s">
        <v>4</v>
      </c>
      <c r="D7">
        <f t="shared" si="0"/>
        <v>1739267</v>
      </c>
      <c r="F7" t="s">
        <v>87</v>
      </c>
    </row>
    <row r="8" spans="1:6" x14ac:dyDescent="0.25">
      <c r="A8" s="1">
        <v>27983</v>
      </c>
      <c r="B8" s="1" t="s">
        <v>5</v>
      </c>
      <c r="D8">
        <f t="shared" si="0"/>
        <v>1767250</v>
      </c>
      <c r="F8" t="s">
        <v>86</v>
      </c>
    </row>
    <row r="9" spans="1:6" x14ac:dyDescent="0.25">
      <c r="A9" s="1">
        <v>1211925</v>
      </c>
      <c r="B9" s="1" t="s">
        <v>6</v>
      </c>
      <c r="D9">
        <f t="shared" si="0"/>
        <v>2979175</v>
      </c>
      <c r="F9" t="s">
        <v>88</v>
      </c>
    </row>
    <row r="10" spans="1:6" x14ac:dyDescent="0.25">
      <c r="A10" s="1">
        <v>794830</v>
      </c>
      <c r="B10" s="1" t="s">
        <v>7</v>
      </c>
      <c r="D10">
        <f t="shared" si="0"/>
        <v>3774005</v>
      </c>
      <c r="F10" t="s">
        <v>89</v>
      </c>
    </row>
    <row r="11" spans="1:6" x14ac:dyDescent="0.25">
      <c r="A11" s="1">
        <v>272129</v>
      </c>
      <c r="B11" s="1" t="s">
        <v>8</v>
      </c>
      <c r="D11">
        <f t="shared" si="0"/>
        <v>4046134</v>
      </c>
      <c r="F11" t="s">
        <v>85</v>
      </c>
    </row>
    <row r="12" spans="1:6" x14ac:dyDescent="0.25">
      <c r="A12" s="1">
        <v>3026445</v>
      </c>
      <c r="B12" s="1" t="s">
        <v>9</v>
      </c>
      <c r="D12">
        <f t="shared" si="0"/>
        <v>7072579</v>
      </c>
      <c r="F12" t="s">
        <v>90</v>
      </c>
    </row>
    <row r="13" spans="1:6" x14ac:dyDescent="0.25">
      <c r="A13" s="1">
        <v>269835</v>
      </c>
      <c r="B13" s="1" t="s">
        <v>10</v>
      </c>
      <c r="D13">
        <f t="shared" si="0"/>
        <v>7342414</v>
      </c>
      <c r="F13" t="s">
        <v>91</v>
      </c>
    </row>
    <row r="14" spans="1:6" x14ac:dyDescent="0.25">
      <c r="A14" s="1">
        <v>437323</v>
      </c>
      <c r="B14" s="1" t="s">
        <v>11</v>
      </c>
      <c r="D14">
        <f t="shared" si="0"/>
        <v>7779737</v>
      </c>
      <c r="F14" t="s">
        <v>86</v>
      </c>
    </row>
    <row r="15" spans="1:6" x14ac:dyDescent="0.25">
      <c r="A15" s="1">
        <v>749756</v>
      </c>
      <c r="B15" s="1" t="s">
        <v>12</v>
      </c>
      <c r="D15">
        <f t="shared" si="0"/>
        <v>8529493</v>
      </c>
      <c r="F15" t="s">
        <v>92</v>
      </c>
    </row>
    <row r="16" spans="1:6" x14ac:dyDescent="0.25">
      <c r="A16" s="1">
        <v>269653</v>
      </c>
      <c r="B16" s="1" t="s">
        <v>13</v>
      </c>
      <c r="D16">
        <f t="shared" si="0"/>
        <v>8799146</v>
      </c>
      <c r="F16" t="s">
        <v>91</v>
      </c>
    </row>
    <row r="17" spans="1:6" x14ac:dyDescent="0.25">
      <c r="A17" s="1">
        <v>1168395</v>
      </c>
      <c r="B17" s="1" t="s">
        <v>14</v>
      </c>
      <c r="D17">
        <f t="shared" si="0"/>
        <v>9967541</v>
      </c>
      <c r="F17" t="s">
        <v>87</v>
      </c>
    </row>
    <row r="18" spans="1:6" x14ac:dyDescent="0.25">
      <c r="A18" s="1">
        <v>17011</v>
      </c>
      <c r="B18" s="1" t="s">
        <v>15</v>
      </c>
      <c r="D18">
        <f t="shared" si="0"/>
        <v>9984552</v>
      </c>
      <c r="F18" t="s">
        <v>86</v>
      </c>
    </row>
    <row r="19" spans="1:6" x14ac:dyDescent="0.25">
      <c r="A19" s="1">
        <v>172568</v>
      </c>
      <c r="B19" s="1" t="s">
        <v>16</v>
      </c>
      <c r="D19">
        <f t="shared" si="0"/>
        <v>10157120</v>
      </c>
      <c r="F19" t="s">
        <v>87</v>
      </c>
    </row>
    <row r="20" spans="1:6" x14ac:dyDescent="0.25">
      <c r="A20" s="1">
        <v>178510</v>
      </c>
      <c r="B20" s="1" t="s">
        <v>17</v>
      </c>
      <c r="D20">
        <f t="shared" si="0"/>
        <v>10335630</v>
      </c>
      <c r="F20" t="s">
        <v>93</v>
      </c>
    </row>
    <row r="21" spans="1:6" x14ac:dyDescent="0.25">
      <c r="A21" s="1">
        <v>70567</v>
      </c>
      <c r="B21" s="1" t="s">
        <v>18</v>
      </c>
      <c r="D21">
        <f t="shared" si="0"/>
        <v>10406197</v>
      </c>
      <c r="F21" t="s">
        <v>94</v>
      </c>
    </row>
    <row r="22" spans="1:6" x14ac:dyDescent="0.25">
      <c r="A22" s="1">
        <v>421221</v>
      </c>
      <c r="B22" s="1" t="s">
        <v>19</v>
      </c>
      <c r="D22">
        <f t="shared" si="0"/>
        <v>10827418</v>
      </c>
      <c r="F22" t="s">
        <v>95</v>
      </c>
    </row>
    <row r="23" spans="1:6" x14ac:dyDescent="0.25">
      <c r="A23" s="1">
        <v>504472</v>
      </c>
      <c r="B23" s="1" t="s">
        <v>20</v>
      </c>
      <c r="D23">
        <f t="shared" si="0"/>
        <v>11331890</v>
      </c>
      <c r="F23" t="s">
        <v>96</v>
      </c>
    </row>
    <row r="24" spans="1:6" x14ac:dyDescent="0.25">
      <c r="A24" s="1">
        <v>504297</v>
      </c>
      <c r="B24" s="1" t="s">
        <v>21</v>
      </c>
      <c r="D24">
        <f t="shared" si="0"/>
        <v>11836187</v>
      </c>
      <c r="F24" t="s">
        <v>96</v>
      </c>
    </row>
    <row r="25" spans="1:6" x14ac:dyDescent="0.25">
      <c r="A25" s="1">
        <v>369143</v>
      </c>
      <c r="B25" s="1" t="s">
        <v>22</v>
      </c>
      <c r="D25">
        <f t="shared" si="0"/>
        <v>12205330</v>
      </c>
      <c r="F25" t="s">
        <v>92</v>
      </c>
    </row>
    <row r="26" spans="1:6" x14ac:dyDescent="0.25">
      <c r="A26" s="1">
        <v>747706</v>
      </c>
      <c r="B26" s="1" t="s">
        <v>23</v>
      </c>
      <c r="D26">
        <f t="shared" si="0"/>
        <v>12953036</v>
      </c>
      <c r="F26" t="s">
        <v>87</v>
      </c>
    </row>
    <row r="27" spans="1:6" x14ac:dyDescent="0.25">
      <c r="A27" s="1">
        <v>130982</v>
      </c>
      <c r="B27" s="1" t="s">
        <v>24</v>
      </c>
      <c r="D27">
        <f t="shared" si="0"/>
        <v>13084018</v>
      </c>
      <c r="F27" t="s">
        <v>97</v>
      </c>
    </row>
    <row r="28" spans="1:6" x14ac:dyDescent="0.25">
      <c r="A28" s="1">
        <v>455743</v>
      </c>
      <c r="B28" s="1" t="s">
        <v>25</v>
      </c>
      <c r="D28">
        <f t="shared" si="0"/>
        <v>13539761</v>
      </c>
      <c r="F28" t="s">
        <v>98</v>
      </c>
    </row>
    <row r="29" spans="1:6" x14ac:dyDescent="0.25">
      <c r="A29" s="1">
        <v>1206727</v>
      </c>
      <c r="B29" s="1" t="s">
        <v>26</v>
      </c>
      <c r="D29">
        <f t="shared" si="0"/>
        <v>14746488</v>
      </c>
      <c r="F29" t="s">
        <v>97</v>
      </c>
    </row>
    <row r="30" spans="1:6" x14ac:dyDescent="0.25">
      <c r="A30" s="1">
        <v>66951</v>
      </c>
      <c r="B30" s="1" t="s">
        <v>27</v>
      </c>
      <c r="D30">
        <f t="shared" si="0"/>
        <v>14813439</v>
      </c>
      <c r="F30" t="s">
        <v>99</v>
      </c>
    </row>
    <row r="31" spans="1:6" x14ac:dyDescent="0.25">
      <c r="A31" s="1">
        <v>27671</v>
      </c>
      <c r="B31" s="1" t="s">
        <v>28</v>
      </c>
      <c r="D31">
        <f t="shared" si="0"/>
        <v>14841110</v>
      </c>
      <c r="F31" t="s">
        <v>100</v>
      </c>
    </row>
    <row r="32" spans="1:6" x14ac:dyDescent="0.25">
      <c r="A32" s="1">
        <v>504397</v>
      </c>
      <c r="B32" s="1" t="s">
        <v>29</v>
      </c>
      <c r="D32">
        <f t="shared" si="0"/>
        <v>15345507</v>
      </c>
      <c r="F32" t="s">
        <v>96</v>
      </c>
    </row>
    <row r="33" spans="1:6" x14ac:dyDescent="0.25">
      <c r="A33" s="1">
        <v>216501</v>
      </c>
      <c r="B33" s="1" t="s">
        <v>30</v>
      </c>
      <c r="D33">
        <f t="shared" si="0"/>
        <v>15562008</v>
      </c>
      <c r="F33" t="s">
        <v>99</v>
      </c>
    </row>
    <row r="34" spans="1:6" x14ac:dyDescent="0.25">
      <c r="A34" s="1">
        <v>871054</v>
      </c>
      <c r="B34" s="1" t="s">
        <v>31</v>
      </c>
      <c r="D34">
        <f t="shared" si="0"/>
        <v>16433062</v>
      </c>
      <c r="F34" t="s">
        <v>100</v>
      </c>
    </row>
    <row r="35" spans="1:6" x14ac:dyDescent="0.25">
      <c r="A35" s="1">
        <v>504391</v>
      </c>
      <c r="B35" s="1" t="s">
        <v>32</v>
      </c>
      <c r="D35">
        <f t="shared" si="0"/>
        <v>16937453</v>
      </c>
      <c r="F35" t="s">
        <v>96</v>
      </c>
    </row>
    <row r="36" spans="1:6" x14ac:dyDescent="0.25">
      <c r="A36" s="1">
        <v>2897295</v>
      </c>
      <c r="B36" s="1" t="s">
        <v>33</v>
      </c>
      <c r="D36">
        <f t="shared" si="0"/>
        <v>19834748</v>
      </c>
      <c r="F36" t="s">
        <v>101</v>
      </c>
    </row>
    <row r="37" spans="1:6" x14ac:dyDescent="0.25">
      <c r="A37" s="1">
        <v>695769</v>
      </c>
      <c r="B37" s="1" t="s">
        <v>34</v>
      </c>
      <c r="D37">
        <f t="shared" si="0"/>
        <v>20530517</v>
      </c>
      <c r="F37" t="s">
        <v>102</v>
      </c>
    </row>
    <row r="38" spans="1:6" x14ac:dyDescent="0.25">
      <c r="A38" s="1">
        <v>868085</v>
      </c>
      <c r="B38" s="1" t="s">
        <v>35</v>
      </c>
      <c r="D38">
        <f t="shared" si="0"/>
        <v>21398602</v>
      </c>
      <c r="F38" t="s">
        <v>103</v>
      </c>
    </row>
    <row r="39" spans="1:6" x14ac:dyDescent="0.25">
      <c r="A39" s="1">
        <v>1482133</v>
      </c>
      <c r="B39" s="1" t="s">
        <v>36</v>
      </c>
      <c r="D39">
        <f t="shared" si="0"/>
        <v>22880735</v>
      </c>
      <c r="F39" t="s">
        <v>103</v>
      </c>
    </row>
    <row r="40" spans="1:6" x14ac:dyDescent="0.25">
      <c r="A40" s="1">
        <v>1235350</v>
      </c>
      <c r="B40" s="1" t="s">
        <v>37</v>
      </c>
      <c r="D40">
        <f t="shared" si="0"/>
        <v>24116085</v>
      </c>
      <c r="F40" t="s">
        <v>102</v>
      </c>
    </row>
    <row r="41" spans="1:6" x14ac:dyDescent="0.25">
      <c r="A41" s="1">
        <v>168077</v>
      </c>
      <c r="B41" s="1" t="s">
        <v>38</v>
      </c>
      <c r="D41">
        <f t="shared" si="0"/>
        <v>24284162</v>
      </c>
      <c r="F41" t="s">
        <v>104</v>
      </c>
    </row>
    <row r="42" spans="1:6" x14ac:dyDescent="0.25">
      <c r="A42" s="1">
        <v>654905</v>
      </c>
      <c r="B42" s="1" t="s">
        <v>39</v>
      </c>
      <c r="D42">
        <f t="shared" si="0"/>
        <v>24939067</v>
      </c>
      <c r="F42" t="s">
        <v>105</v>
      </c>
    </row>
    <row r="43" spans="1:6" x14ac:dyDescent="0.25">
      <c r="A43" s="1">
        <v>163821</v>
      </c>
      <c r="B43" s="1" t="s">
        <v>40</v>
      </c>
      <c r="D43">
        <f t="shared" si="0"/>
        <v>25102888</v>
      </c>
      <c r="F43" t="s">
        <v>104</v>
      </c>
    </row>
    <row r="44" spans="1:6" x14ac:dyDescent="0.25">
      <c r="A44" s="1">
        <v>597973</v>
      </c>
      <c r="B44" s="1" t="s">
        <v>41</v>
      </c>
      <c r="D44">
        <f t="shared" si="0"/>
        <v>25700861</v>
      </c>
      <c r="F44" t="s">
        <v>106</v>
      </c>
    </row>
    <row r="45" spans="1:6" x14ac:dyDescent="0.25">
      <c r="A45" s="1">
        <v>555041</v>
      </c>
      <c r="B45" s="1" t="s">
        <v>42</v>
      </c>
      <c r="D45">
        <f t="shared" si="0"/>
        <v>26255902</v>
      </c>
      <c r="F45" t="s">
        <v>106</v>
      </c>
    </row>
    <row r="46" spans="1:6" x14ac:dyDescent="0.25">
      <c r="A46" s="1">
        <v>135347</v>
      </c>
      <c r="B46" s="1" t="s">
        <v>43</v>
      </c>
      <c r="D46">
        <f t="shared" si="0"/>
        <v>26391249</v>
      </c>
      <c r="F46" t="s">
        <v>97</v>
      </c>
    </row>
    <row r="47" spans="1:6" x14ac:dyDescent="0.25">
      <c r="A47" s="1">
        <v>1266583</v>
      </c>
      <c r="B47" s="1" t="s">
        <v>44</v>
      </c>
      <c r="D47">
        <f t="shared" si="0"/>
        <v>27657832</v>
      </c>
      <c r="F47" t="s">
        <v>97</v>
      </c>
    </row>
    <row r="48" spans="1:6" x14ac:dyDescent="0.25">
      <c r="A48" s="1">
        <v>1972278</v>
      </c>
      <c r="B48" s="1" t="s">
        <v>45</v>
      </c>
      <c r="D48">
        <f t="shared" si="0"/>
        <v>29630110</v>
      </c>
      <c r="F48" t="s">
        <v>107</v>
      </c>
    </row>
    <row r="49" spans="1:6" x14ac:dyDescent="0.25">
      <c r="A49" s="1">
        <v>640813</v>
      </c>
      <c r="B49" s="1" t="s">
        <v>46</v>
      </c>
      <c r="D49">
        <f t="shared" si="0"/>
        <v>30270923</v>
      </c>
      <c r="F49" t="s">
        <v>108</v>
      </c>
    </row>
    <row r="50" spans="1:6" x14ac:dyDescent="0.25">
      <c r="A50" s="1">
        <v>278691</v>
      </c>
      <c r="B50" s="1" t="s">
        <v>47</v>
      </c>
      <c r="D50">
        <f t="shared" si="0"/>
        <v>30549614</v>
      </c>
      <c r="F50" t="s">
        <v>107</v>
      </c>
    </row>
    <row r="51" spans="1:6" x14ac:dyDescent="0.25">
      <c r="A51" s="1">
        <v>1206948</v>
      </c>
      <c r="B51" s="1" t="s">
        <v>48</v>
      </c>
      <c r="D51">
        <f t="shared" si="0"/>
        <v>31756562</v>
      </c>
      <c r="F51" t="s">
        <v>109</v>
      </c>
    </row>
    <row r="52" spans="1:6" x14ac:dyDescent="0.25">
      <c r="A52" s="1">
        <v>690035</v>
      </c>
      <c r="B52" s="1" t="s">
        <v>49</v>
      </c>
      <c r="D52">
        <f t="shared" si="0"/>
        <v>32446597</v>
      </c>
      <c r="F52" t="s">
        <v>110</v>
      </c>
    </row>
    <row r="53" spans="1:6" x14ac:dyDescent="0.25">
      <c r="A53" s="1">
        <v>1608128</v>
      </c>
      <c r="B53" s="1" t="s">
        <v>50</v>
      </c>
      <c r="D53">
        <f t="shared" si="0"/>
        <v>34054725</v>
      </c>
      <c r="F53" t="s">
        <v>111</v>
      </c>
    </row>
    <row r="54" spans="1:6" x14ac:dyDescent="0.25">
      <c r="A54" s="1">
        <v>1697188</v>
      </c>
      <c r="B54" s="1" t="s">
        <v>51</v>
      </c>
      <c r="D54">
        <f t="shared" si="0"/>
        <v>35751913</v>
      </c>
      <c r="F54" t="s">
        <v>111</v>
      </c>
    </row>
    <row r="55" spans="1:6" x14ac:dyDescent="0.25">
      <c r="A55" s="1">
        <v>1508075</v>
      </c>
      <c r="B55" s="1" t="s">
        <v>52</v>
      </c>
      <c r="D55">
        <f t="shared" si="0"/>
        <v>37259988</v>
      </c>
      <c r="F55" t="s">
        <v>105</v>
      </c>
    </row>
    <row r="56" spans="1:6" x14ac:dyDescent="0.25">
      <c r="A56" s="1">
        <v>889701</v>
      </c>
      <c r="B56" s="1" t="s">
        <v>53</v>
      </c>
      <c r="D56">
        <f t="shared" si="0"/>
        <v>38149689</v>
      </c>
      <c r="F56" t="s">
        <v>112</v>
      </c>
    </row>
    <row r="57" spans="1:6" x14ac:dyDescent="0.25">
      <c r="A57" s="1">
        <v>311380</v>
      </c>
      <c r="B57" s="1" t="s">
        <v>54</v>
      </c>
      <c r="D57">
        <f t="shared" si="0"/>
        <v>38461069</v>
      </c>
      <c r="F57" t="s">
        <v>113</v>
      </c>
    </row>
    <row r="58" spans="1:6" x14ac:dyDescent="0.25">
      <c r="A58" s="1">
        <v>713540</v>
      </c>
      <c r="B58" s="1" t="s">
        <v>55</v>
      </c>
      <c r="D58">
        <f t="shared" si="0"/>
        <v>39174609</v>
      </c>
      <c r="F58" t="s">
        <v>114</v>
      </c>
    </row>
    <row r="59" spans="1:6" x14ac:dyDescent="0.25">
      <c r="A59" s="1">
        <v>1219515</v>
      </c>
      <c r="B59" s="1" t="s">
        <v>56</v>
      </c>
      <c r="D59">
        <f t="shared" si="0"/>
        <v>40394124</v>
      </c>
      <c r="F59" t="s">
        <v>115</v>
      </c>
    </row>
    <row r="60" spans="1:6" x14ac:dyDescent="0.25">
      <c r="A60" s="1">
        <v>1396384</v>
      </c>
      <c r="B60" s="1" t="s">
        <v>57</v>
      </c>
      <c r="D60">
        <f t="shared" si="0"/>
        <v>41790508</v>
      </c>
      <c r="F60" t="s">
        <v>116</v>
      </c>
    </row>
    <row r="61" spans="1:6" x14ac:dyDescent="0.25">
      <c r="A61" s="1">
        <v>970360</v>
      </c>
      <c r="B61" s="1" t="s">
        <v>58</v>
      </c>
      <c r="D61">
        <f t="shared" si="0"/>
        <v>42760868</v>
      </c>
      <c r="F61" t="s">
        <v>117</v>
      </c>
    </row>
    <row r="62" spans="1:6" x14ac:dyDescent="0.25">
      <c r="A62" s="1">
        <v>324792</v>
      </c>
      <c r="B62" s="1" t="s">
        <v>59</v>
      </c>
      <c r="D62">
        <f t="shared" si="0"/>
        <v>43085660</v>
      </c>
      <c r="F62" t="s">
        <v>115</v>
      </c>
    </row>
    <row r="63" spans="1:6" x14ac:dyDescent="0.25">
      <c r="A63" s="1">
        <v>2174800</v>
      </c>
      <c r="B63" s="1" t="s">
        <v>60</v>
      </c>
      <c r="D63">
        <f t="shared" si="0"/>
        <v>45260460</v>
      </c>
      <c r="F63" t="s">
        <v>114</v>
      </c>
    </row>
    <row r="64" spans="1:6" x14ac:dyDescent="0.25">
      <c r="A64" s="1">
        <v>331090</v>
      </c>
      <c r="B64" s="1" t="s">
        <v>61</v>
      </c>
      <c r="D64">
        <f t="shared" si="0"/>
        <v>45591550</v>
      </c>
      <c r="F64" t="s">
        <v>118</v>
      </c>
    </row>
    <row r="65" spans="1:6" x14ac:dyDescent="0.25">
      <c r="A65" s="1">
        <v>449396</v>
      </c>
      <c r="B65" s="1" t="s">
        <v>62</v>
      </c>
      <c r="D65">
        <f t="shared" si="0"/>
        <v>46040946</v>
      </c>
      <c r="F65" t="s">
        <v>116</v>
      </c>
    </row>
    <row r="66" spans="1:6" x14ac:dyDescent="0.25">
      <c r="A66" s="1">
        <v>385538</v>
      </c>
      <c r="B66" s="1" t="s">
        <v>63</v>
      </c>
      <c r="D66">
        <f t="shared" si="0"/>
        <v>46426484</v>
      </c>
      <c r="F66" t="s">
        <v>113</v>
      </c>
    </row>
    <row r="67" spans="1:6" x14ac:dyDescent="0.25">
      <c r="A67" s="1">
        <v>1588865</v>
      </c>
      <c r="B67" s="1" t="s">
        <v>64</v>
      </c>
      <c r="D67">
        <f t="shared" si="0"/>
        <v>48015349</v>
      </c>
      <c r="F67" t="s">
        <v>119</v>
      </c>
    </row>
    <row r="68" spans="1:6" x14ac:dyDescent="0.25">
      <c r="A68" s="1">
        <v>273017</v>
      </c>
      <c r="B68" s="1" t="s">
        <v>65</v>
      </c>
      <c r="D68">
        <f t="shared" si="0"/>
        <v>48288366</v>
      </c>
      <c r="F68" t="s">
        <v>120</v>
      </c>
    </row>
    <row r="69" spans="1:6" x14ac:dyDescent="0.25">
      <c r="A69" s="1">
        <v>1248925</v>
      </c>
      <c r="B69" s="1" t="s">
        <v>66</v>
      </c>
      <c r="D69">
        <f t="shared" si="0"/>
        <v>49537291</v>
      </c>
      <c r="F69" t="s">
        <v>114</v>
      </c>
    </row>
    <row r="70" spans="1:6" x14ac:dyDescent="0.25">
      <c r="A70" s="1">
        <v>7273532</v>
      </c>
      <c r="B70" s="1" t="s">
        <v>67</v>
      </c>
      <c r="D70">
        <f t="shared" ref="D70:D85" si="1">D69+A70</f>
        <v>56810823</v>
      </c>
      <c r="F70" t="s">
        <v>119</v>
      </c>
    </row>
    <row r="71" spans="1:6" x14ac:dyDescent="0.25">
      <c r="A71" s="1">
        <v>1887590</v>
      </c>
      <c r="B71" s="1" t="s">
        <v>68</v>
      </c>
      <c r="D71">
        <f t="shared" si="1"/>
        <v>58698413</v>
      </c>
      <c r="F71" t="s">
        <v>120</v>
      </c>
    </row>
    <row r="72" spans="1:6" x14ac:dyDescent="0.25">
      <c r="A72" s="1">
        <v>344747</v>
      </c>
      <c r="B72" s="1" t="s">
        <v>69</v>
      </c>
      <c r="D72">
        <f t="shared" si="1"/>
        <v>59043160</v>
      </c>
      <c r="F72" t="s">
        <v>114</v>
      </c>
    </row>
    <row r="73" spans="1:6" x14ac:dyDescent="0.25">
      <c r="A73" s="1">
        <v>148334</v>
      </c>
      <c r="B73" s="1" t="s">
        <v>70</v>
      </c>
      <c r="D73">
        <f t="shared" si="1"/>
        <v>59191494</v>
      </c>
      <c r="F73" t="s">
        <v>119</v>
      </c>
    </row>
    <row r="74" spans="1:6" x14ac:dyDescent="0.25">
      <c r="A74" s="1">
        <v>3856600</v>
      </c>
      <c r="B74" s="1" t="s">
        <v>71</v>
      </c>
      <c r="D74">
        <f t="shared" si="1"/>
        <v>63048094</v>
      </c>
      <c r="F74" t="s">
        <v>114</v>
      </c>
    </row>
    <row r="75" spans="1:6" x14ac:dyDescent="0.25">
      <c r="A75" s="1">
        <v>490200</v>
      </c>
      <c r="B75" s="1" t="s">
        <v>72</v>
      </c>
      <c r="D75">
        <f t="shared" si="1"/>
        <v>63538294</v>
      </c>
      <c r="F75" t="s">
        <v>119</v>
      </c>
    </row>
    <row r="76" spans="1:6" x14ac:dyDescent="0.25">
      <c r="A76" s="1">
        <v>486321</v>
      </c>
      <c r="B76" s="1" t="s">
        <v>73</v>
      </c>
      <c r="D76">
        <f t="shared" si="1"/>
        <v>64024615</v>
      </c>
      <c r="F76" t="s">
        <v>114</v>
      </c>
    </row>
    <row r="77" spans="1:6" x14ac:dyDescent="0.25">
      <c r="A77" s="1">
        <v>2212162</v>
      </c>
      <c r="B77" s="1" t="s">
        <v>74</v>
      </c>
      <c r="D77">
        <f t="shared" si="1"/>
        <v>66236777</v>
      </c>
      <c r="F77" t="s">
        <v>121</v>
      </c>
    </row>
    <row r="78" spans="1:6" x14ac:dyDescent="0.25">
      <c r="A78" s="1">
        <v>16874</v>
      </c>
      <c r="B78" s="1" t="s">
        <v>75</v>
      </c>
      <c r="D78">
        <f t="shared" si="1"/>
        <v>66253651</v>
      </c>
      <c r="F78" t="s">
        <v>121</v>
      </c>
    </row>
    <row r="79" spans="1:6" x14ac:dyDescent="0.25">
      <c r="A79" s="1">
        <v>37406</v>
      </c>
      <c r="B79" s="1" t="s">
        <v>76</v>
      </c>
      <c r="D79">
        <f t="shared" si="1"/>
        <v>66291057</v>
      </c>
      <c r="F79" t="s">
        <v>121</v>
      </c>
    </row>
    <row r="80" spans="1:6" x14ac:dyDescent="0.25">
      <c r="A80" s="1">
        <v>16754</v>
      </c>
      <c r="B80" s="1" t="s">
        <v>77</v>
      </c>
      <c r="D80">
        <f t="shared" si="1"/>
        <v>66307811</v>
      </c>
      <c r="F80" t="s">
        <v>122</v>
      </c>
    </row>
    <row r="81" spans="1:6" x14ac:dyDescent="0.25">
      <c r="A81" s="1">
        <v>1943600</v>
      </c>
      <c r="B81" s="1" t="s">
        <v>78</v>
      </c>
      <c r="D81">
        <f t="shared" si="1"/>
        <v>68251411</v>
      </c>
      <c r="F81" t="s">
        <v>122</v>
      </c>
    </row>
    <row r="82" spans="1:6" x14ac:dyDescent="0.25">
      <c r="A82" s="1">
        <v>18111</v>
      </c>
      <c r="B82" s="1" t="s">
        <v>79</v>
      </c>
      <c r="D82">
        <f t="shared" si="1"/>
        <v>68269522</v>
      </c>
      <c r="F82" t="s">
        <v>123</v>
      </c>
    </row>
    <row r="83" spans="1:6" x14ac:dyDescent="0.25">
      <c r="A83" s="1">
        <v>5435774</v>
      </c>
      <c r="B83" s="1" t="s">
        <v>80</v>
      </c>
      <c r="D83">
        <f t="shared" si="1"/>
        <v>73705296</v>
      </c>
      <c r="F83" t="s">
        <v>124</v>
      </c>
    </row>
    <row r="84" spans="1:6" x14ac:dyDescent="0.25">
      <c r="A84" s="1">
        <v>6170205</v>
      </c>
      <c r="B84" s="1" t="s">
        <v>81</v>
      </c>
      <c r="D84">
        <f t="shared" si="1"/>
        <v>79875501</v>
      </c>
      <c r="F84" t="s">
        <v>125</v>
      </c>
    </row>
    <row r="85" spans="1:6" x14ac:dyDescent="0.25">
      <c r="A85" s="1">
        <v>456583</v>
      </c>
      <c r="B85" s="1" t="s">
        <v>82</v>
      </c>
      <c r="D85">
        <f t="shared" si="1"/>
        <v>80332084</v>
      </c>
      <c r="F85" t="s">
        <v>125</v>
      </c>
    </row>
    <row r="86" spans="1:6" x14ac:dyDescent="0.25">
      <c r="A86" s="1">
        <f>SUM(A3:A85)</f>
        <v>80332084</v>
      </c>
    </row>
  </sheetData>
  <conditionalFormatting sqref="D3:D85">
    <cfRule type="cellIs" dxfId="0" priority="1" operator="greaterThan">
      <formula>$D$85*0.66</formula>
    </cfRule>
  </conditionalFormatting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</dc:creator>
  <cp:lastModifiedBy>matthias</cp:lastModifiedBy>
  <dcterms:created xsi:type="dcterms:W3CDTF">2023-12-13T12:57:54Z</dcterms:created>
  <dcterms:modified xsi:type="dcterms:W3CDTF">2023-12-13T13:13:31Z</dcterms:modified>
</cp:coreProperties>
</file>